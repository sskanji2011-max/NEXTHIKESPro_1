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13_ncr:1_{69581056-C7C4-4F5F-BC05-E5E727FEB60E}" xr6:coauthVersionLast="47" xr6:coauthVersionMax="47" xr10:uidLastSave="{00000000-0000-0000-0000-000000000000}"/>
  <bookViews>
    <workbookView xWindow="6390" yWindow="4185" windowWidth="21600" windowHeight="11295" xr2:uid="{03806C90-7CFC-464A-A021-09B7DFE9B400}"/>
  </bookViews>
  <sheets>
    <sheet name="Dataset A" sheetId="1" r:id="rId1"/>
  </sheets>
  <definedNames>
    <definedName name="_xlnm._FilterDatabase" localSheetId="0" hidden="1">'Dataset A'!$F$1:$U$1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611" i="1" l="1"/>
  <c r="T611" i="1"/>
  <c r="S611" i="1"/>
  <c r="U610" i="1"/>
  <c r="T610" i="1"/>
  <c r="S610" i="1"/>
  <c r="U609" i="1"/>
  <c r="T609" i="1"/>
  <c r="S609" i="1"/>
  <c r="U608" i="1"/>
  <c r="T608" i="1"/>
  <c r="S608" i="1"/>
  <c r="U607" i="1"/>
  <c r="T607" i="1"/>
  <c r="S607" i="1"/>
  <c r="U606" i="1"/>
  <c r="T606" i="1"/>
  <c r="S606" i="1"/>
  <c r="U605" i="1"/>
  <c r="T605" i="1"/>
  <c r="S605" i="1"/>
  <c r="U604" i="1"/>
  <c r="T604" i="1"/>
  <c r="S604" i="1"/>
  <c r="U603" i="1"/>
  <c r="T603" i="1"/>
  <c r="S603" i="1"/>
  <c r="U602" i="1"/>
  <c r="T602" i="1"/>
  <c r="S602" i="1"/>
  <c r="U601" i="1"/>
  <c r="T601" i="1"/>
  <c r="S601" i="1"/>
  <c r="U600" i="1"/>
  <c r="T600" i="1"/>
  <c r="S600" i="1"/>
  <c r="U599" i="1"/>
  <c r="T599" i="1"/>
  <c r="S599" i="1"/>
  <c r="U598" i="1"/>
  <c r="T598" i="1"/>
  <c r="S598" i="1"/>
  <c r="U597" i="1"/>
  <c r="T597" i="1"/>
  <c r="S597" i="1"/>
  <c r="U596" i="1"/>
  <c r="T596" i="1"/>
  <c r="S596" i="1"/>
  <c r="U595" i="1"/>
  <c r="T595" i="1"/>
  <c r="S595" i="1"/>
  <c r="U594" i="1"/>
  <c r="T594" i="1"/>
  <c r="S594" i="1"/>
  <c r="U593" i="1"/>
  <c r="T593" i="1"/>
  <c r="S593" i="1"/>
  <c r="U592" i="1"/>
  <c r="T592" i="1"/>
  <c r="S592" i="1"/>
  <c r="U591" i="1"/>
  <c r="T591" i="1"/>
  <c r="S591" i="1"/>
  <c r="U590" i="1"/>
  <c r="T590" i="1"/>
  <c r="S590" i="1"/>
  <c r="U589" i="1"/>
  <c r="T589" i="1"/>
  <c r="S589" i="1"/>
  <c r="U588" i="1"/>
  <c r="T588" i="1"/>
  <c r="S588" i="1"/>
  <c r="U587" i="1"/>
  <c r="T587" i="1"/>
  <c r="S587" i="1"/>
  <c r="U586" i="1"/>
  <c r="T586" i="1"/>
  <c r="S586" i="1"/>
  <c r="U585" i="1"/>
  <c r="T585" i="1"/>
  <c r="S585" i="1"/>
  <c r="U584" i="1"/>
  <c r="T584" i="1"/>
  <c r="S584" i="1"/>
  <c r="U583" i="1"/>
  <c r="T583" i="1"/>
  <c r="S583" i="1"/>
  <c r="U582" i="1"/>
  <c r="T582" i="1"/>
  <c r="S582" i="1"/>
  <c r="U581" i="1"/>
  <c r="T581" i="1"/>
  <c r="S581" i="1"/>
  <c r="U580" i="1"/>
  <c r="T580" i="1"/>
  <c r="S580" i="1"/>
  <c r="U579" i="1"/>
  <c r="T579" i="1"/>
  <c r="S579" i="1"/>
  <c r="U578" i="1"/>
  <c r="T578" i="1"/>
  <c r="S578" i="1"/>
  <c r="U577" i="1"/>
  <c r="T577" i="1"/>
  <c r="S577" i="1"/>
  <c r="U576" i="1"/>
  <c r="T576" i="1"/>
  <c r="S576" i="1"/>
  <c r="U575" i="1"/>
  <c r="T575" i="1"/>
  <c r="S575" i="1"/>
  <c r="U574" i="1"/>
  <c r="T574" i="1"/>
  <c r="S574" i="1"/>
  <c r="U573" i="1"/>
  <c r="T573" i="1"/>
  <c r="S573" i="1"/>
  <c r="U572" i="1"/>
  <c r="T572" i="1"/>
  <c r="S572" i="1"/>
  <c r="U571" i="1"/>
  <c r="T571" i="1"/>
  <c r="S571" i="1"/>
  <c r="U570" i="1"/>
  <c r="T570" i="1"/>
  <c r="S570" i="1"/>
  <c r="U569" i="1"/>
  <c r="T569" i="1"/>
  <c r="S569" i="1"/>
  <c r="U568" i="1"/>
  <c r="T568" i="1"/>
  <c r="S568" i="1"/>
  <c r="U567" i="1"/>
  <c r="T567" i="1"/>
  <c r="S567" i="1"/>
  <c r="U566" i="1"/>
  <c r="T566" i="1"/>
  <c r="S566" i="1"/>
  <c r="U565" i="1"/>
  <c r="T565" i="1"/>
  <c r="S565" i="1"/>
  <c r="U564" i="1"/>
  <c r="T564" i="1"/>
  <c r="S564" i="1"/>
  <c r="U563" i="1"/>
  <c r="T563" i="1"/>
  <c r="S563" i="1"/>
  <c r="U562" i="1"/>
  <c r="T562" i="1"/>
  <c r="S562" i="1"/>
  <c r="U561" i="1"/>
  <c r="T561" i="1"/>
  <c r="S561" i="1"/>
  <c r="U560" i="1"/>
  <c r="T560" i="1"/>
  <c r="S560" i="1"/>
  <c r="U559" i="1"/>
  <c r="T559" i="1"/>
  <c r="S559" i="1"/>
  <c r="U558" i="1"/>
  <c r="T558" i="1"/>
  <c r="S558" i="1"/>
  <c r="U557" i="1"/>
  <c r="T557" i="1"/>
  <c r="S557" i="1"/>
  <c r="U556" i="1"/>
  <c r="T556" i="1"/>
  <c r="S556" i="1"/>
  <c r="U555" i="1"/>
  <c r="T555" i="1"/>
  <c r="S555" i="1"/>
  <c r="U554" i="1"/>
  <c r="T554" i="1"/>
  <c r="S554" i="1"/>
  <c r="U553" i="1"/>
  <c r="T553" i="1"/>
  <c r="S553" i="1"/>
  <c r="U552" i="1"/>
  <c r="T552" i="1"/>
  <c r="S552" i="1"/>
  <c r="U551" i="1"/>
  <c r="T551" i="1"/>
  <c r="S551" i="1"/>
  <c r="U550" i="1"/>
  <c r="T550" i="1"/>
  <c r="S550" i="1"/>
  <c r="U549" i="1"/>
  <c r="T549" i="1"/>
  <c r="S549" i="1"/>
  <c r="U548" i="1"/>
  <c r="T548" i="1"/>
  <c r="S548" i="1"/>
  <c r="U547" i="1"/>
  <c r="T547" i="1"/>
  <c r="S547" i="1"/>
  <c r="U546" i="1"/>
  <c r="T546" i="1"/>
  <c r="S546" i="1"/>
  <c r="U545" i="1"/>
  <c r="T545" i="1"/>
  <c r="S545" i="1"/>
  <c r="U544" i="1"/>
  <c r="T544" i="1"/>
  <c r="S544" i="1"/>
  <c r="U543" i="1"/>
  <c r="T543" i="1"/>
  <c r="S543" i="1"/>
  <c r="U542" i="1"/>
  <c r="T542" i="1"/>
  <c r="S542" i="1"/>
  <c r="U541" i="1"/>
  <c r="T541" i="1"/>
  <c r="S541" i="1"/>
  <c r="U540" i="1"/>
  <c r="T540" i="1"/>
  <c r="S540" i="1"/>
  <c r="U539" i="1"/>
  <c r="T539" i="1"/>
  <c r="S539" i="1"/>
  <c r="U538" i="1"/>
  <c r="T538" i="1"/>
  <c r="S538" i="1"/>
  <c r="U537" i="1"/>
  <c r="T537" i="1"/>
  <c r="S537" i="1"/>
  <c r="U536" i="1"/>
  <c r="T536" i="1"/>
  <c r="S536" i="1"/>
  <c r="U535" i="1"/>
  <c r="T535" i="1"/>
  <c r="S535" i="1"/>
  <c r="U534" i="1"/>
  <c r="T534" i="1"/>
  <c r="S534" i="1"/>
  <c r="U533" i="1"/>
  <c r="T533" i="1"/>
  <c r="S533" i="1"/>
  <c r="U532" i="1"/>
  <c r="T532" i="1"/>
  <c r="S532" i="1"/>
  <c r="U531" i="1"/>
  <c r="T531" i="1"/>
  <c r="S531" i="1"/>
  <c r="U530" i="1"/>
  <c r="T530" i="1"/>
  <c r="S530" i="1"/>
  <c r="U529" i="1"/>
  <c r="T529" i="1"/>
  <c r="S529" i="1"/>
  <c r="U528" i="1"/>
  <c r="T528" i="1"/>
  <c r="S528" i="1"/>
  <c r="U527" i="1"/>
  <c r="T527" i="1"/>
  <c r="S527" i="1"/>
  <c r="U526" i="1"/>
  <c r="T526" i="1"/>
  <c r="S526" i="1"/>
  <c r="U525" i="1"/>
  <c r="T525" i="1"/>
  <c r="S525" i="1"/>
  <c r="U524" i="1"/>
  <c r="T524" i="1"/>
  <c r="S524" i="1"/>
  <c r="U523" i="1"/>
  <c r="T523" i="1"/>
  <c r="S523" i="1"/>
  <c r="U522" i="1"/>
  <c r="T522" i="1"/>
  <c r="S522" i="1"/>
  <c r="U521" i="1"/>
  <c r="T521" i="1"/>
  <c r="S521" i="1"/>
  <c r="U520" i="1"/>
  <c r="T520" i="1"/>
  <c r="S520" i="1"/>
  <c r="U519" i="1"/>
  <c r="T519" i="1"/>
  <c r="S519" i="1"/>
  <c r="U518" i="1"/>
  <c r="T518" i="1"/>
  <c r="S518" i="1"/>
  <c r="U517" i="1"/>
  <c r="T517" i="1"/>
  <c r="S517" i="1"/>
  <c r="U516" i="1"/>
  <c r="T516" i="1"/>
  <c r="S516" i="1"/>
  <c r="U515" i="1"/>
  <c r="T515" i="1"/>
  <c r="S515" i="1"/>
  <c r="U514" i="1"/>
  <c r="T514" i="1"/>
  <c r="S514" i="1"/>
  <c r="U513" i="1"/>
  <c r="T513" i="1"/>
  <c r="S513" i="1"/>
  <c r="U512" i="1"/>
  <c r="T512" i="1"/>
  <c r="S512" i="1"/>
  <c r="U511" i="1"/>
  <c r="T511" i="1"/>
  <c r="S511" i="1"/>
  <c r="U510" i="1"/>
  <c r="T510" i="1"/>
  <c r="S510" i="1"/>
  <c r="U509" i="1"/>
  <c r="T509" i="1"/>
  <c r="S509" i="1"/>
  <c r="U508" i="1"/>
  <c r="T508" i="1"/>
  <c r="S508" i="1"/>
  <c r="U507" i="1"/>
  <c r="T507" i="1"/>
  <c r="S507" i="1"/>
  <c r="U506" i="1"/>
  <c r="T506" i="1"/>
  <c r="S506" i="1"/>
  <c r="U505" i="1"/>
  <c r="T505" i="1"/>
  <c r="S505" i="1"/>
  <c r="U504" i="1"/>
  <c r="T504" i="1"/>
  <c r="S504" i="1"/>
  <c r="U503" i="1"/>
  <c r="T503" i="1"/>
  <c r="S503" i="1"/>
  <c r="U502" i="1"/>
  <c r="T502" i="1"/>
  <c r="S502" i="1"/>
  <c r="U501" i="1"/>
  <c r="T501" i="1"/>
  <c r="S501" i="1"/>
  <c r="U500" i="1"/>
  <c r="T500" i="1"/>
  <c r="S500" i="1"/>
  <c r="U499" i="1"/>
  <c r="T499" i="1"/>
  <c r="S499" i="1"/>
  <c r="U498" i="1"/>
  <c r="T498" i="1"/>
  <c r="S498" i="1"/>
  <c r="U497" i="1"/>
  <c r="T497" i="1"/>
  <c r="S497" i="1"/>
  <c r="U496" i="1"/>
  <c r="T496" i="1"/>
  <c r="S496" i="1"/>
  <c r="U495" i="1"/>
  <c r="T495" i="1"/>
  <c r="S495" i="1"/>
  <c r="U494" i="1"/>
  <c r="T494" i="1"/>
  <c r="S494" i="1"/>
  <c r="U493" i="1"/>
  <c r="T493" i="1"/>
  <c r="S493" i="1"/>
  <c r="U492" i="1"/>
  <c r="T492" i="1"/>
  <c r="S492" i="1"/>
  <c r="U491" i="1"/>
  <c r="T491" i="1"/>
  <c r="S491" i="1"/>
  <c r="U490" i="1"/>
  <c r="T490" i="1"/>
  <c r="S490" i="1"/>
  <c r="U489" i="1"/>
  <c r="T489" i="1"/>
  <c r="S489" i="1"/>
  <c r="U488" i="1"/>
  <c r="T488" i="1"/>
  <c r="S488" i="1"/>
  <c r="U487" i="1"/>
  <c r="T487" i="1"/>
  <c r="S487" i="1"/>
  <c r="U486" i="1"/>
  <c r="T486" i="1"/>
  <c r="S486" i="1"/>
  <c r="U485" i="1"/>
  <c r="T485" i="1"/>
  <c r="S485" i="1"/>
  <c r="U484" i="1"/>
  <c r="T484" i="1"/>
  <c r="S484" i="1"/>
  <c r="U483" i="1"/>
  <c r="T483" i="1"/>
  <c r="S483" i="1"/>
  <c r="U482" i="1"/>
  <c r="T482" i="1"/>
  <c r="S482" i="1"/>
  <c r="U481" i="1"/>
  <c r="T481" i="1"/>
  <c r="S481" i="1"/>
  <c r="U480" i="1"/>
  <c r="T480" i="1"/>
  <c r="S480" i="1"/>
  <c r="U479" i="1"/>
  <c r="T479" i="1"/>
  <c r="S479" i="1"/>
  <c r="U478" i="1"/>
  <c r="T478" i="1"/>
  <c r="S478" i="1"/>
  <c r="U477" i="1"/>
  <c r="T477" i="1"/>
  <c r="S477" i="1"/>
  <c r="U476" i="1"/>
  <c r="T476" i="1"/>
  <c r="S476" i="1"/>
  <c r="U475" i="1"/>
  <c r="T475" i="1"/>
  <c r="S475" i="1"/>
  <c r="U474" i="1"/>
  <c r="T474" i="1"/>
  <c r="S474" i="1"/>
  <c r="U473" i="1"/>
  <c r="T473" i="1"/>
  <c r="S473" i="1"/>
  <c r="U472" i="1"/>
  <c r="T472" i="1"/>
  <c r="S472" i="1"/>
  <c r="U471" i="1"/>
  <c r="T471" i="1"/>
  <c r="S471" i="1"/>
  <c r="U470" i="1"/>
  <c r="T470" i="1"/>
  <c r="S470" i="1"/>
  <c r="U469" i="1"/>
  <c r="T469" i="1"/>
  <c r="S469" i="1"/>
  <c r="U468" i="1"/>
  <c r="T468" i="1"/>
  <c r="S468" i="1"/>
  <c r="U467" i="1"/>
  <c r="T467" i="1"/>
  <c r="S467" i="1"/>
  <c r="U466" i="1"/>
  <c r="T466" i="1"/>
  <c r="S466" i="1"/>
  <c r="U465" i="1"/>
  <c r="T465" i="1"/>
  <c r="S465" i="1"/>
  <c r="U464" i="1"/>
  <c r="T464" i="1"/>
  <c r="S464" i="1"/>
  <c r="U463" i="1"/>
  <c r="T463" i="1"/>
  <c r="S463" i="1"/>
  <c r="U462" i="1"/>
  <c r="T462" i="1"/>
  <c r="S462" i="1"/>
  <c r="U461" i="1"/>
  <c r="T461" i="1"/>
  <c r="S461" i="1"/>
  <c r="U460" i="1"/>
  <c r="T460" i="1"/>
  <c r="S460" i="1"/>
  <c r="U459" i="1"/>
  <c r="T459" i="1"/>
  <c r="S459" i="1"/>
  <c r="U458" i="1"/>
  <c r="T458" i="1"/>
  <c r="S458" i="1"/>
  <c r="U457" i="1"/>
  <c r="T457" i="1"/>
  <c r="S457" i="1"/>
  <c r="U456" i="1"/>
  <c r="T456" i="1"/>
  <c r="S456" i="1"/>
  <c r="U455" i="1"/>
  <c r="T455" i="1"/>
  <c r="S455" i="1"/>
  <c r="U454" i="1"/>
  <c r="T454" i="1"/>
  <c r="S454" i="1"/>
  <c r="U453" i="1"/>
  <c r="T453" i="1"/>
  <c r="S453" i="1"/>
  <c r="U452" i="1"/>
  <c r="T452" i="1"/>
  <c r="S452" i="1"/>
  <c r="U451" i="1"/>
  <c r="T451" i="1"/>
  <c r="S451" i="1"/>
  <c r="U450" i="1"/>
  <c r="T450" i="1"/>
  <c r="S450" i="1"/>
  <c r="U449" i="1"/>
  <c r="T449" i="1"/>
  <c r="S449" i="1"/>
  <c r="U448" i="1"/>
  <c r="T448" i="1"/>
  <c r="S448" i="1"/>
  <c r="U447" i="1"/>
  <c r="T447" i="1"/>
  <c r="S447" i="1"/>
  <c r="U446" i="1"/>
  <c r="T446" i="1"/>
  <c r="S446" i="1"/>
  <c r="U445" i="1"/>
  <c r="T445" i="1"/>
  <c r="S445" i="1"/>
  <c r="U444" i="1"/>
  <c r="T444" i="1"/>
  <c r="S444" i="1"/>
  <c r="U443" i="1"/>
  <c r="T443" i="1"/>
  <c r="S443" i="1"/>
  <c r="U442" i="1"/>
  <c r="T442" i="1"/>
  <c r="S442" i="1"/>
  <c r="U441" i="1"/>
  <c r="T441" i="1"/>
  <c r="S441" i="1"/>
  <c r="U440" i="1"/>
  <c r="T440" i="1"/>
  <c r="S440" i="1"/>
  <c r="U439" i="1"/>
  <c r="T439" i="1"/>
  <c r="S439" i="1"/>
  <c r="U438" i="1"/>
  <c r="T438" i="1"/>
  <c r="S438" i="1"/>
  <c r="U437" i="1"/>
  <c r="T437" i="1"/>
  <c r="S437" i="1"/>
  <c r="U436" i="1"/>
  <c r="T436" i="1"/>
  <c r="S436" i="1"/>
  <c r="U435" i="1"/>
  <c r="T435" i="1"/>
  <c r="S435" i="1"/>
  <c r="U434" i="1"/>
  <c r="T434" i="1"/>
  <c r="S434" i="1"/>
  <c r="U433" i="1"/>
  <c r="T433" i="1"/>
  <c r="S433" i="1"/>
  <c r="U432" i="1"/>
  <c r="T432" i="1"/>
  <c r="S432" i="1"/>
  <c r="U431" i="1"/>
  <c r="T431" i="1"/>
  <c r="S431" i="1"/>
  <c r="U430" i="1"/>
  <c r="T430" i="1"/>
  <c r="S430" i="1"/>
  <c r="U429" i="1"/>
  <c r="T429" i="1"/>
  <c r="S429" i="1"/>
  <c r="U428" i="1"/>
  <c r="T428" i="1"/>
  <c r="S428" i="1"/>
  <c r="U427" i="1"/>
  <c r="T427" i="1"/>
  <c r="S427" i="1"/>
  <c r="U426" i="1"/>
  <c r="T426" i="1"/>
  <c r="S426" i="1"/>
  <c r="U425" i="1"/>
  <c r="T425" i="1"/>
  <c r="S425" i="1"/>
  <c r="U424" i="1"/>
  <c r="T424" i="1"/>
  <c r="S424" i="1"/>
  <c r="U423" i="1"/>
  <c r="T423" i="1"/>
  <c r="S423" i="1"/>
  <c r="U422" i="1"/>
  <c r="T422" i="1"/>
  <c r="S422" i="1"/>
  <c r="U421" i="1"/>
  <c r="T421" i="1"/>
  <c r="S421" i="1"/>
  <c r="U420" i="1"/>
  <c r="T420" i="1"/>
  <c r="S420" i="1"/>
  <c r="U419" i="1"/>
  <c r="T419" i="1"/>
  <c r="S419" i="1"/>
  <c r="U418" i="1"/>
  <c r="T418" i="1"/>
  <c r="S418" i="1"/>
  <c r="U417" i="1"/>
  <c r="T417" i="1"/>
  <c r="S417" i="1"/>
  <c r="U416" i="1"/>
  <c r="T416" i="1"/>
  <c r="S416" i="1"/>
  <c r="U415" i="1"/>
  <c r="T415" i="1"/>
  <c r="S415" i="1"/>
  <c r="U414" i="1"/>
  <c r="T414" i="1"/>
  <c r="S414" i="1"/>
  <c r="U413" i="1"/>
  <c r="T413" i="1"/>
  <c r="S413" i="1"/>
  <c r="U412" i="1"/>
  <c r="T412" i="1"/>
  <c r="S412" i="1"/>
  <c r="U411" i="1"/>
  <c r="T411" i="1"/>
  <c r="S411" i="1"/>
  <c r="U410" i="1"/>
  <c r="T410" i="1"/>
  <c r="S410" i="1"/>
  <c r="U409" i="1"/>
  <c r="T409" i="1"/>
  <c r="S409" i="1"/>
  <c r="U408" i="1"/>
  <c r="T408" i="1"/>
  <c r="S408" i="1"/>
  <c r="U407" i="1"/>
  <c r="T407" i="1"/>
  <c r="S407" i="1"/>
  <c r="U406" i="1"/>
  <c r="T406" i="1"/>
  <c r="S406" i="1"/>
  <c r="U405" i="1"/>
  <c r="T405" i="1"/>
  <c r="S405" i="1"/>
  <c r="U404" i="1"/>
  <c r="T404" i="1"/>
  <c r="S404" i="1"/>
  <c r="U403" i="1"/>
  <c r="T403" i="1"/>
  <c r="S403" i="1"/>
  <c r="U402" i="1"/>
  <c r="T402" i="1"/>
  <c r="S402" i="1"/>
  <c r="U401" i="1"/>
  <c r="T401" i="1"/>
  <c r="S401" i="1"/>
  <c r="U400" i="1"/>
  <c r="T400" i="1"/>
  <c r="S400" i="1"/>
  <c r="U399" i="1"/>
  <c r="T399" i="1"/>
  <c r="S399" i="1"/>
  <c r="U398" i="1"/>
  <c r="T398" i="1"/>
  <c r="S398" i="1"/>
  <c r="U397" i="1"/>
  <c r="T397" i="1"/>
  <c r="S397" i="1"/>
  <c r="U396" i="1"/>
  <c r="T396" i="1"/>
  <c r="S396" i="1"/>
  <c r="U395" i="1"/>
  <c r="T395" i="1"/>
  <c r="S395" i="1"/>
  <c r="U394" i="1"/>
  <c r="T394" i="1"/>
  <c r="S394" i="1"/>
  <c r="U393" i="1"/>
  <c r="T393" i="1"/>
  <c r="S393" i="1"/>
  <c r="U392" i="1"/>
  <c r="T392" i="1"/>
  <c r="S392" i="1"/>
  <c r="U391" i="1"/>
  <c r="T391" i="1"/>
  <c r="S391" i="1"/>
  <c r="U390" i="1"/>
  <c r="T390" i="1"/>
  <c r="S390" i="1"/>
  <c r="U389" i="1"/>
  <c r="T389" i="1"/>
  <c r="S389" i="1"/>
  <c r="U388" i="1"/>
  <c r="T388" i="1"/>
  <c r="S388" i="1"/>
  <c r="U387" i="1"/>
  <c r="T387" i="1"/>
  <c r="S387" i="1"/>
  <c r="U386" i="1"/>
  <c r="T386" i="1"/>
  <c r="S386" i="1"/>
  <c r="U385" i="1"/>
  <c r="T385" i="1"/>
  <c r="S385" i="1"/>
  <c r="U384" i="1"/>
  <c r="T384" i="1"/>
  <c r="S384" i="1"/>
  <c r="U383" i="1"/>
  <c r="T383" i="1"/>
  <c r="S383" i="1"/>
  <c r="U382" i="1"/>
  <c r="T382" i="1"/>
  <c r="S382" i="1"/>
  <c r="U381" i="1"/>
  <c r="T381" i="1"/>
  <c r="S381" i="1"/>
  <c r="U380" i="1"/>
  <c r="T380" i="1"/>
  <c r="S380" i="1"/>
  <c r="U379" i="1"/>
  <c r="T379" i="1"/>
  <c r="S379" i="1"/>
  <c r="U378" i="1"/>
  <c r="T378" i="1"/>
  <c r="S378" i="1"/>
  <c r="U377" i="1"/>
  <c r="T377" i="1"/>
  <c r="S377" i="1"/>
  <c r="U376" i="1"/>
  <c r="T376" i="1"/>
  <c r="S376" i="1"/>
  <c r="U375" i="1"/>
  <c r="T375" i="1"/>
  <c r="S375" i="1"/>
  <c r="U374" i="1"/>
  <c r="T374" i="1"/>
  <c r="S374" i="1"/>
  <c r="U373" i="1"/>
  <c r="T373" i="1"/>
  <c r="S373" i="1"/>
  <c r="U372" i="1"/>
  <c r="T372" i="1"/>
  <c r="S372" i="1"/>
  <c r="U371" i="1"/>
  <c r="T371" i="1"/>
  <c r="S371" i="1"/>
  <c r="U370" i="1"/>
  <c r="T370" i="1"/>
  <c r="S370" i="1"/>
  <c r="U369" i="1"/>
  <c r="T369" i="1"/>
  <c r="S369" i="1"/>
  <c r="U368" i="1"/>
  <c r="T368" i="1"/>
  <c r="S368" i="1"/>
  <c r="U367" i="1"/>
  <c r="T367" i="1"/>
  <c r="S367" i="1"/>
  <c r="U366" i="1"/>
  <c r="T366" i="1"/>
  <c r="S366" i="1"/>
  <c r="U365" i="1"/>
  <c r="T365" i="1"/>
  <c r="S365" i="1"/>
  <c r="U364" i="1"/>
  <c r="T364" i="1"/>
  <c r="S364" i="1"/>
  <c r="U363" i="1"/>
  <c r="T363" i="1"/>
  <c r="S363" i="1"/>
  <c r="U362" i="1"/>
  <c r="T362" i="1"/>
  <c r="S362" i="1"/>
  <c r="U361" i="1"/>
  <c r="T361" i="1"/>
  <c r="S361" i="1"/>
  <c r="U360" i="1"/>
  <c r="T360" i="1"/>
  <c r="S360" i="1"/>
  <c r="U359" i="1"/>
  <c r="T359" i="1"/>
  <c r="S359" i="1"/>
  <c r="U358" i="1"/>
  <c r="T358" i="1"/>
  <c r="S358" i="1"/>
  <c r="U357" i="1"/>
  <c r="T357" i="1"/>
  <c r="S357" i="1"/>
  <c r="U356" i="1"/>
  <c r="T356" i="1"/>
  <c r="S356" i="1"/>
  <c r="U355" i="1"/>
  <c r="T355" i="1"/>
  <c r="S355" i="1"/>
  <c r="U354" i="1"/>
  <c r="T354" i="1"/>
  <c r="S354" i="1"/>
  <c r="U353" i="1"/>
  <c r="T353" i="1"/>
  <c r="S353" i="1"/>
  <c r="U352" i="1"/>
  <c r="T352" i="1"/>
  <c r="S352" i="1"/>
  <c r="U351" i="1"/>
  <c r="T351" i="1"/>
  <c r="S351" i="1"/>
  <c r="U350" i="1"/>
  <c r="T350" i="1"/>
  <c r="S350" i="1"/>
  <c r="U349" i="1"/>
  <c r="T349" i="1"/>
  <c r="S349" i="1"/>
  <c r="U348" i="1"/>
  <c r="T348" i="1"/>
  <c r="S348" i="1"/>
  <c r="U347" i="1"/>
  <c r="T347" i="1"/>
  <c r="S347" i="1"/>
  <c r="U346" i="1"/>
  <c r="T346" i="1"/>
  <c r="S346" i="1"/>
  <c r="U345" i="1"/>
  <c r="T345" i="1"/>
  <c r="S345" i="1"/>
  <c r="U344" i="1"/>
  <c r="T344" i="1"/>
  <c r="S344" i="1"/>
  <c r="U343" i="1"/>
  <c r="T343" i="1"/>
  <c r="S343" i="1"/>
  <c r="U342" i="1"/>
  <c r="T342" i="1"/>
  <c r="S342" i="1"/>
  <c r="U341" i="1"/>
  <c r="T341" i="1"/>
  <c r="S341" i="1"/>
  <c r="U340" i="1"/>
  <c r="T340" i="1"/>
  <c r="S340" i="1"/>
  <c r="U339" i="1"/>
  <c r="T339" i="1"/>
  <c r="S339" i="1"/>
  <c r="U338" i="1"/>
  <c r="T338" i="1"/>
  <c r="S338" i="1"/>
  <c r="U337" i="1"/>
  <c r="T337" i="1"/>
  <c r="S337" i="1"/>
  <c r="U336" i="1"/>
  <c r="T336" i="1"/>
  <c r="S336" i="1"/>
  <c r="U335" i="1"/>
  <c r="T335" i="1"/>
  <c r="S335" i="1"/>
  <c r="U334" i="1"/>
  <c r="T334" i="1"/>
  <c r="S334" i="1"/>
  <c r="U333" i="1"/>
  <c r="T333" i="1"/>
  <c r="S333" i="1"/>
  <c r="U332" i="1"/>
  <c r="T332" i="1"/>
  <c r="S332" i="1"/>
  <c r="U331" i="1"/>
  <c r="T331" i="1"/>
  <c r="S331" i="1"/>
  <c r="U330" i="1"/>
  <c r="T330" i="1"/>
  <c r="S330" i="1"/>
  <c r="U329" i="1"/>
  <c r="T329" i="1"/>
  <c r="S329" i="1"/>
  <c r="U328" i="1"/>
  <c r="T328" i="1"/>
  <c r="S328" i="1"/>
  <c r="U327" i="1"/>
  <c r="T327" i="1"/>
  <c r="S327" i="1"/>
  <c r="U326" i="1"/>
  <c r="T326" i="1"/>
  <c r="S326" i="1"/>
  <c r="U325" i="1"/>
  <c r="T325" i="1"/>
  <c r="S325" i="1"/>
  <c r="U324" i="1"/>
  <c r="T324" i="1"/>
  <c r="S324" i="1"/>
  <c r="U323" i="1"/>
  <c r="T323" i="1"/>
  <c r="S323" i="1"/>
  <c r="U322" i="1"/>
  <c r="T322" i="1"/>
  <c r="S322" i="1"/>
  <c r="U321" i="1"/>
  <c r="T321" i="1"/>
  <c r="S321" i="1"/>
  <c r="U320" i="1"/>
  <c r="T320" i="1"/>
  <c r="S320" i="1"/>
  <c r="U319" i="1"/>
  <c r="T319" i="1"/>
  <c r="S319" i="1"/>
  <c r="U318" i="1"/>
  <c r="T318" i="1"/>
  <c r="S318" i="1"/>
  <c r="U317" i="1"/>
  <c r="T317" i="1"/>
  <c r="S317" i="1"/>
  <c r="U316" i="1"/>
  <c r="T316" i="1"/>
  <c r="S316" i="1"/>
  <c r="U315" i="1"/>
  <c r="T315" i="1"/>
  <c r="S315" i="1"/>
  <c r="U314" i="1"/>
  <c r="T314" i="1"/>
  <c r="S314" i="1"/>
  <c r="U313" i="1"/>
  <c r="T313" i="1"/>
  <c r="S313" i="1"/>
  <c r="U312" i="1"/>
  <c r="T312" i="1"/>
  <c r="S312" i="1"/>
  <c r="U311" i="1"/>
  <c r="T311" i="1"/>
  <c r="S311" i="1"/>
  <c r="U310" i="1"/>
  <c r="T310" i="1"/>
  <c r="S310" i="1"/>
  <c r="U309" i="1"/>
  <c r="T309" i="1"/>
  <c r="S309" i="1"/>
  <c r="U308" i="1"/>
  <c r="T308" i="1"/>
  <c r="S308" i="1"/>
  <c r="U307" i="1"/>
  <c r="T307" i="1"/>
  <c r="S307" i="1"/>
  <c r="U306" i="1"/>
  <c r="T306" i="1"/>
  <c r="S306" i="1"/>
  <c r="U305" i="1"/>
  <c r="T305" i="1"/>
  <c r="S305" i="1"/>
  <c r="U304" i="1"/>
  <c r="T304" i="1"/>
  <c r="S304" i="1"/>
  <c r="U303" i="1"/>
  <c r="T303" i="1"/>
  <c r="S303" i="1"/>
  <c r="U302" i="1"/>
  <c r="T302" i="1"/>
  <c r="S302" i="1"/>
  <c r="U301" i="1"/>
  <c r="T301" i="1"/>
  <c r="S301" i="1"/>
  <c r="U300" i="1"/>
  <c r="T300" i="1"/>
  <c r="S300" i="1"/>
  <c r="U299" i="1"/>
  <c r="T299" i="1"/>
  <c r="S299" i="1"/>
  <c r="U298" i="1"/>
  <c r="T298" i="1"/>
  <c r="S298" i="1"/>
  <c r="U297" i="1"/>
  <c r="T297" i="1"/>
  <c r="S297" i="1"/>
  <c r="U296" i="1"/>
  <c r="T296" i="1"/>
  <c r="S296" i="1"/>
  <c r="U295" i="1"/>
  <c r="T295" i="1"/>
  <c r="S295" i="1"/>
  <c r="U294" i="1"/>
  <c r="T294" i="1"/>
  <c r="S294" i="1"/>
  <c r="U293" i="1"/>
  <c r="T293" i="1"/>
  <c r="S293" i="1"/>
  <c r="U292" i="1"/>
  <c r="T292" i="1"/>
  <c r="S292" i="1"/>
  <c r="U291" i="1"/>
  <c r="T291" i="1"/>
  <c r="S291" i="1"/>
  <c r="U290" i="1"/>
  <c r="T290" i="1"/>
  <c r="S290" i="1"/>
  <c r="U289" i="1"/>
  <c r="T289" i="1"/>
  <c r="S289" i="1"/>
  <c r="U288" i="1"/>
  <c r="T288" i="1"/>
  <c r="S288" i="1"/>
  <c r="U287" i="1"/>
  <c r="T287" i="1"/>
  <c r="S287" i="1"/>
  <c r="U286" i="1"/>
  <c r="T286" i="1"/>
  <c r="S286" i="1"/>
  <c r="U285" i="1"/>
  <c r="T285" i="1"/>
  <c r="S285" i="1"/>
  <c r="U284" i="1"/>
  <c r="T284" i="1"/>
  <c r="S284" i="1"/>
  <c r="U283" i="1"/>
  <c r="T283" i="1"/>
  <c r="S283" i="1"/>
  <c r="U282" i="1"/>
  <c r="T282" i="1"/>
  <c r="S282" i="1"/>
  <c r="U281" i="1"/>
  <c r="T281" i="1"/>
  <c r="S281" i="1"/>
  <c r="U280" i="1"/>
  <c r="T280" i="1"/>
  <c r="S280" i="1"/>
  <c r="U279" i="1"/>
  <c r="T279" i="1"/>
  <c r="S279" i="1"/>
  <c r="U278" i="1"/>
  <c r="T278" i="1"/>
  <c r="S278" i="1"/>
  <c r="U277" i="1"/>
  <c r="T277" i="1"/>
  <c r="S277" i="1"/>
  <c r="U276" i="1"/>
  <c r="T276" i="1"/>
  <c r="S276" i="1"/>
  <c r="U275" i="1"/>
  <c r="T275" i="1"/>
  <c r="S275" i="1"/>
  <c r="U274" i="1"/>
  <c r="T274" i="1"/>
  <c r="S274" i="1"/>
  <c r="U273" i="1"/>
  <c r="T273" i="1"/>
  <c r="S273" i="1"/>
  <c r="U272" i="1"/>
  <c r="T272" i="1"/>
  <c r="S272" i="1"/>
  <c r="U271" i="1"/>
  <c r="T271" i="1"/>
  <c r="S271" i="1"/>
  <c r="U270" i="1"/>
  <c r="T270" i="1"/>
  <c r="S270" i="1"/>
  <c r="U269" i="1"/>
  <c r="T269" i="1"/>
  <c r="S269" i="1"/>
  <c r="U268" i="1"/>
  <c r="T268" i="1"/>
  <c r="S268" i="1"/>
  <c r="U267" i="1"/>
  <c r="T267" i="1"/>
  <c r="S267" i="1"/>
  <c r="U266" i="1"/>
  <c r="T266" i="1"/>
  <c r="S266" i="1"/>
  <c r="U265" i="1"/>
  <c r="T265" i="1"/>
  <c r="S265" i="1"/>
  <c r="U264" i="1"/>
  <c r="T264" i="1"/>
  <c r="S264" i="1"/>
  <c r="U263" i="1"/>
  <c r="T263" i="1"/>
  <c r="S263" i="1"/>
  <c r="U262" i="1"/>
  <c r="T262" i="1"/>
  <c r="S262" i="1"/>
  <c r="U261" i="1"/>
  <c r="T261" i="1"/>
  <c r="S261" i="1"/>
  <c r="U260" i="1"/>
  <c r="T260" i="1"/>
  <c r="S260" i="1"/>
  <c r="U259" i="1"/>
  <c r="T259" i="1"/>
  <c r="S259" i="1"/>
  <c r="U258" i="1"/>
  <c r="T258" i="1"/>
  <c r="S258" i="1"/>
  <c r="U257" i="1"/>
  <c r="T257" i="1"/>
  <c r="S257" i="1"/>
  <c r="U256" i="1"/>
  <c r="T256" i="1"/>
  <c r="S256" i="1"/>
  <c r="U255" i="1"/>
  <c r="T255" i="1"/>
  <c r="S255" i="1"/>
  <c r="U254" i="1"/>
  <c r="T254" i="1"/>
  <c r="S254" i="1"/>
  <c r="U253" i="1"/>
  <c r="T253" i="1"/>
  <c r="S253" i="1"/>
  <c r="U252" i="1"/>
  <c r="T252" i="1"/>
  <c r="S252" i="1"/>
  <c r="U251" i="1"/>
  <c r="T251" i="1"/>
  <c r="S251" i="1"/>
  <c r="U250" i="1"/>
  <c r="T250" i="1"/>
  <c r="S250" i="1"/>
  <c r="U249" i="1"/>
  <c r="T249" i="1"/>
  <c r="S249" i="1"/>
  <c r="U248" i="1"/>
  <c r="T248" i="1"/>
  <c r="S248" i="1"/>
  <c r="U247" i="1"/>
  <c r="T247" i="1"/>
  <c r="S247" i="1"/>
  <c r="U246" i="1"/>
  <c r="T246" i="1"/>
  <c r="S246" i="1"/>
  <c r="U245" i="1"/>
  <c r="T245" i="1"/>
  <c r="S245" i="1"/>
  <c r="U244" i="1"/>
  <c r="T244" i="1"/>
  <c r="S244" i="1"/>
  <c r="U243" i="1"/>
  <c r="T243" i="1"/>
  <c r="S243" i="1"/>
  <c r="U242" i="1"/>
  <c r="T242" i="1"/>
  <c r="S242" i="1"/>
  <c r="U241" i="1"/>
  <c r="T241" i="1"/>
  <c r="S241" i="1"/>
  <c r="U240" i="1"/>
  <c r="T240" i="1"/>
  <c r="S240" i="1"/>
  <c r="U239" i="1"/>
  <c r="T239" i="1"/>
  <c r="S239" i="1"/>
  <c r="U238" i="1"/>
  <c r="T238" i="1"/>
  <c r="S238" i="1"/>
  <c r="U237" i="1"/>
  <c r="T237" i="1"/>
  <c r="S237" i="1"/>
  <c r="U236" i="1"/>
  <c r="T236" i="1"/>
  <c r="S236" i="1"/>
  <c r="U235" i="1"/>
  <c r="T235" i="1"/>
  <c r="S235" i="1"/>
  <c r="U234" i="1"/>
  <c r="T234" i="1"/>
  <c r="S234" i="1"/>
  <c r="U233" i="1"/>
  <c r="T233" i="1"/>
  <c r="S233" i="1"/>
  <c r="U232" i="1"/>
  <c r="T232" i="1"/>
  <c r="S232" i="1"/>
  <c r="U231" i="1"/>
  <c r="T231" i="1"/>
  <c r="S231" i="1"/>
  <c r="U230" i="1"/>
  <c r="T230" i="1"/>
  <c r="S230" i="1"/>
  <c r="U229" i="1"/>
  <c r="T229" i="1"/>
  <c r="S229" i="1"/>
  <c r="U228" i="1"/>
  <c r="T228" i="1"/>
  <c r="S228" i="1"/>
  <c r="U227" i="1"/>
  <c r="T227" i="1"/>
  <c r="S227" i="1"/>
  <c r="U226" i="1"/>
  <c r="T226" i="1"/>
  <c r="S226" i="1"/>
  <c r="U225" i="1"/>
  <c r="T225" i="1"/>
  <c r="S225" i="1"/>
  <c r="U224" i="1"/>
  <c r="T224" i="1"/>
  <c r="S224" i="1"/>
  <c r="U223" i="1"/>
  <c r="T223" i="1"/>
  <c r="S223" i="1"/>
  <c r="U222" i="1"/>
  <c r="T222" i="1"/>
  <c r="S222" i="1"/>
  <c r="U221" i="1"/>
  <c r="T221" i="1"/>
  <c r="S221" i="1"/>
  <c r="U220" i="1"/>
  <c r="T220" i="1"/>
  <c r="S220" i="1"/>
  <c r="U219" i="1"/>
  <c r="T219" i="1"/>
  <c r="S219" i="1"/>
  <c r="U218" i="1"/>
  <c r="T218" i="1"/>
  <c r="S218" i="1"/>
  <c r="U217" i="1"/>
  <c r="T217" i="1"/>
  <c r="S217" i="1"/>
  <c r="U216" i="1"/>
  <c r="T216" i="1"/>
  <c r="S216" i="1"/>
  <c r="U215" i="1"/>
  <c r="T215" i="1"/>
  <c r="S215" i="1"/>
  <c r="U214" i="1"/>
  <c r="T214" i="1"/>
  <c r="S214" i="1"/>
  <c r="U213" i="1"/>
  <c r="T213" i="1"/>
  <c r="S213" i="1"/>
  <c r="U212" i="1"/>
  <c r="T212" i="1"/>
  <c r="S212" i="1"/>
  <c r="U211" i="1"/>
  <c r="T211" i="1"/>
  <c r="S211" i="1"/>
  <c r="U210" i="1"/>
  <c r="T210" i="1"/>
  <c r="S210" i="1"/>
  <c r="U209" i="1"/>
  <c r="T209" i="1"/>
  <c r="S209" i="1"/>
  <c r="U208" i="1"/>
  <c r="T208" i="1"/>
  <c r="S208" i="1"/>
  <c r="U207" i="1"/>
  <c r="T207" i="1"/>
  <c r="S207" i="1"/>
  <c r="U206" i="1"/>
  <c r="T206" i="1"/>
  <c r="S206" i="1"/>
  <c r="U205" i="1"/>
  <c r="T205" i="1"/>
  <c r="S205" i="1"/>
  <c r="U204" i="1"/>
  <c r="T204" i="1"/>
  <c r="S204" i="1"/>
  <c r="U203" i="1"/>
  <c r="T203" i="1"/>
  <c r="S203" i="1"/>
  <c r="U202" i="1"/>
  <c r="T202" i="1"/>
  <c r="S202" i="1"/>
  <c r="U201" i="1"/>
  <c r="T201" i="1"/>
  <c r="S201" i="1"/>
  <c r="U200" i="1"/>
  <c r="T200" i="1"/>
  <c r="S200" i="1"/>
  <c r="U199" i="1"/>
  <c r="T199" i="1"/>
  <c r="S199" i="1"/>
  <c r="U198" i="1"/>
  <c r="T198" i="1"/>
  <c r="S198" i="1"/>
  <c r="U197" i="1"/>
  <c r="T197" i="1"/>
  <c r="S197" i="1"/>
  <c r="U196" i="1"/>
  <c r="T196" i="1"/>
  <c r="S196" i="1"/>
  <c r="U195" i="1"/>
  <c r="T195" i="1"/>
  <c r="S195" i="1"/>
  <c r="U194" i="1"/>
  <c r="T194" i="1"/>
  <c r="S194" i="1"/>
  <c r="U193" i="1"/>
  <c r="T193" i="1"/>
  <c r="S193" i="1"/>
  <c r="U192" i="1"/>
  <c r="T192" i="1"/>
  <c r="S192" i="1"/>
  <c r="U191" i="1"/>
  <c r="T191" i="1"/>
  <c r="S191" i="1"/>
  <c r="U190" i="1"/>
  <c r="T190" i="1"/>
  <c r="S190" i="1"/>
  <c r="U189" i="1"/>
  <c r="T189" i="1"/>
  <c r="S189" i="1"/>
  <c r="U188" i="1"/>
  <c r="T188" i="1"/>
  <c r="S188" i="1"/>
  <c r="U187" i="1"/>
  <c r="T187" i="1"/>
  <c r="S187" i="1"/>
  <c r="U186" i="1"/>
  <c r="T186" i="1"/>
  <c r="S186" i="1"/>
  <c r="U185" i="1"/>
  <c r="T185" i="1"/>
  <c r="S185" i="1"/>
  <c r="U184" i="1"/>
  <c r="T184" i="1"/>
  <c r="S184" i="1"/>
  <c r="U183" i="1"/>
  <c r="T183" i="1"/>
  <c r="S183" i="1"/>
  <c r="U182" i="1"/>
  <c r="T182" i="1"/>
  <c r="S182" i="1"/>
  <c r="U181" i="1"/>
  <c r="T181" i="1"/>
  <c r="S181" i="1"/>
  <c r="U180" i="1"/>
  <c r="T180" i="1"/>
  <c r="S180" i="1"/>
  <c r="U179" i="1"/>
  <c r="T179" i="1"/>
  <c r="S179" i="1"/>
  <c r="U178" i="1"/>
  <c r="T178" i="1"/>
  <c r="S178" i="1"/>
  <c r="U177" i="1"/>
  <c r="T177" i="1"/>
  <c r="S177" i="1"/>
  <c r="U176" i="1"/>
  <c r="T176" i="1"/>
  <c r="S176" i="1"/>
  <c r="U175" i="1"/>
  <c r="T175" i="1"/>
  <c r="S175" i="1"/>
  <c r="U174" i="1"/>
  <c r="T174" i="1"/>
  <c r="S174" i="1"/>
  <c r="U173" i="1"/>
  <c r="T173" i="1"/>
  <c r="S173" i="1"/>
  <c r="U172" i="1"/>
  <c r="T172" i="1"/>
  <c r="S172" i="1"/>
  <c r="U171" i="1"/>
  <c r="T171" i="1"/>
  <c r="S171" i="1"/>
  <c r="U170" i="1"/>
  <c r="T170" i="1"/>
  <c r="S170" i="1"/>
  <c r="U169" i="1"/>
  <c r="T169" i="1"/>
  <c r="S169" i="1"/>
  <c r="U168" i="1"/>
  <c r="T168" i="1"/>
  <c r="S168" i="1"/>
  <c r="U167" i="1"/>
  <c r="T167" i="1"/>
  <c r="S167" i="1"/>
  <c r="U166" i="1"/>
  <c r="T166" i="1"/>
  <c r="S166" i="1"/>
  <c r="U165" i="1"/>
  <c r="T165" i="1"/>
  <c r="S165" i="1"/>
  <c r="U164" i="1"/>
  <c r="T164" i="1"/>
  <c r="S164" i="1"/>
  <c r="U163" i="1"/>
  <c r="T163" i="1"/>
  <c r="S163" i="1"/>
  <c r="U162" i="1"/>
  <c r="T162" i="1"/>
  <c r="S162" i="1"/>
  <c r="U161" i="1"/>
  <c r="T161" i="1"/>
  <c r="S161" i="1"/>
  <c r="U160" i="1"/>
  <c r="T160" i="1"/>
  <c r="S160" i="1"/>
  <c r="U159" i="1"/>
  <c r="T159" i="1"/>
  <c r="S159" i="1"/>
  <c r="U158" i="1"/>
  <c r="T158" i="1"/>
  <c r="S158" i="1"/>
  <c r="U157" i="1"/>
  <c r="T157" i="1"/>
  <c r="S157" i="1"/>
  <c r="U156" i="1"/>
  <c r="T156" i="1"/>
  <c r="S156" i="1"/>
  <c r="U155" i="1"/>
  <c r="T155" i="1"/>
  <c r="S155" i="1"/>
  <c r="U154" i="1"/>
  <c r="T154" i="1"/>
  <c r="S154" i="1"/>
  <c r="U153" i="1"/>
  <c r="T153" i="1"/>
  <c r="S153" i="1"/>
  <c r="U152" i="1"/>
  <c r="T152" i="1"/>
  <c r="S152" i="1"/>
  <c r="U151" i="1"/>
  <c r="T151" i="1"/>
  <c r="S151" i="1"/>
  <c r="U150" i="1"/>
  <c r="T150" i="1"/>
  <c r="S150" i="1"/>
  <c r="U149" i="1"/>
  <c r="T149" i="1"/>
  <c r="S149" i="1"/>
  <c r="U148" i="1"/>
  <c r="T148" i="1"/>
  <c r="S148" i="1"/>
  <c r="U147" i="1"/>
  <c r="T147" i="1"/>
  <c r="S147" i="1"/>
  <c r="U146" i="1"/>
  <c r="T146" i="1"/>
  <c r="S146" i="1"/>
  <c r="U145" i="1"/>
  <c r="T145" i="1"/>
  <c r="S145" i="1"/>
  <c r="U144" i="1"/>
  <c r="T144" i="1"/>
  <c r="S144" i="1"/>
  <c r="U143" i="1"/>
  <c r="T143" i="1"/>
  <c r="S143" i="1"/>
  <c r="U142" i="1"/>
  <c r="T142" i="1"/>
  <c r="S142" i="1"/>
  <c r="U141" i="1"/>
  <c r="T141" i="1"/>
  <c r="S141" i="1"/>
  <c r="U140" i="1"/>
  <c r="T140" i="1"/>
  <c r="S140" i="1"/>
  <c r="U139" i="1"/>
  <c r="T139" i="1"/>
  <c r="S139" i="1"/>
  <c r="U138" i="1"/>
  <c r="T138" i="1"/>
  <c r="S138" i="1"/>
  <c r="U137" i="1"/>
  <c r="T137" i="1"/>
  <c r="S137" i="1"/>
  <c r="U136" i="1"/>
  <c r="T136" i="1"/>
  <c r="S136" i="1"/>
  <c r="U135" i="1"/>
  <c r="T135" i="1"/>
  <c r="S135" i="1"/>
  <c r="U134" i="1"/>
  <c r="T134" i="1"/>
  <c r="S134" i="1"/>
  <c r="U133" i="1"/>
  <c r="T133" i="1"/>
  <c r="S133" i="1"/>
  <c r="U132" i="1"/>
  <c r="T132" i="1"/>
  <c r="S132" i="1"/>
  <c r="U131" i="1"/>
  <c r="T131" i="1"/>
  <c r="S131" i="1"/>
  <c r="U130" i="1"/>
  <c r="T130" i="1"/>
  <c r="S130" i="1"/>
  <c r="U129" i="1"/>
  <c r="T129" i="1"/>
  <c r="S129" i="1"/>
  <c r="U128" i="1"/>
  <c r="T128" i="1"/>
  <c r="S128" i="1"/>
  <c r="U127" i="1"/>
  <c r="T127" i="1"/>
  <c r="S127" i="1"/>
  <c r="U126" i="1"/>
  <c r="T126" i="1"/>
  <c r="S126" i="1"/>
  <c r="U125" i="1"/>
  <c r="T125" i="1"/>
  <c r="S125" i="1"/>
  <c r="U124" i="1"/>
  <c r="T124" i="1"/>
  <c r="S124" i="1"/>
  <c r="U123" i="1"/>
  <c r="T123" i="1"/>
  <c r="S123" i="1"/>
  <c r="U122" i="1"/>
  <c r="T122" i="1"/>
  <c r="S122" i="1"/>
  <c r="U121" i="1"/>
  <c r="T121" i="1"/>
  <c r="S121" i="1"/>
  <c r="U120" i="1"/>
  <c r="T120" i="1"/>
  <c r="S120" i="1"/>
  <c r="U119" i="1"/>
  <c r="T119" i="1"/>
  <c r="S119" i="1"/>
  <c r="U118" i="1"/>
  <c r="T118" i="1"/>
  <c r="S118" i="1"/>
  <c r="U117" i="1"/>
  <c r="T117" i="1"/>
  <c r="S117" i="1"/>
  <c r="U116" i="1"/>
  <c r="T116" i="1"/>
  <c r="S116" i="1"/>
  <c r="U115" i="1"/>
  <c r="T115" i="1"/>
  <c r="S115" i="1"/>
  <c r="U114" i="1"/>
  <c r="T114" i="1"/>
  <c r="S114" i="1"/>
  <c r="U113" i="1"/>
  <c r="T113" i="1"/>
  <c r="S113" i="1"/>
  <c r="U112" i="1"/>
  <c r="T112" i="1"/>
  <c r="S112" i="1"/>
  <c r="U111" i="1"/>
  <c r="T111" i="1"/>
  <c r="S111" i="1"/>
  <c r="U110" i="1"/>
  <c r="T110" i="1"/>
  <c r="S110" i="1"/>
  <c r="U109" i="1"/>
  <c r="T109" i="1"/>
  <c r="S109" i="1"/>
  <c r="U108" i="1"/>
  <c r="T108" i="1"/>
  <c r="S108" i="1"/>
  <c r="U107" i="1"/>
  <c r="T107" i="1"/>
  <c r="S107" i="1"/>
  <c r="U106" i="1"/>
  <c r="T106" i="1"/>
  <c r="S106" i="1"/>
  <c r="U105" i="1"/>
  <c r="T105" i="1"/>
  <c r="S105" i="1"/>
  <c r="U104" i="1"/>
  <c r="T104" i="1"/>
  <c r="S104" i="1"/>
  <c r="U103" i="1"/>
  <c r="T103" i="1"/>
  <c r="S103" i="1"/>
  <c r="U102" i="1"/>
  <c r="T102" i="1"/>
  <c r="S102" i="1"/>
  <c r="U101" i="1"/>
  <c r="T101" i="1"/>
  <c r="S101" i="1"/>
  <c r="U100" i="1"/>
  <c r="T100" i="1"/>
  <c r="S100" i="1"/>
  <c r="U99" i="1"/>
  <c r="T99" i="1"/>
  <c r="S99" i="1"/>
  <c r="U98" i="1"/>
  <c r="T98" i="1"/>
  <c r="S98" i="1"/>
  <c r="U97" i="1"/>
  <c r="T97" i="1"/>
  <c r="S97" i="1"/>
  <c r="U96" i="1"/>
  <c r="T96" i="1"/>
  <c r="S96" i="1"/>
  <c r="U95" i="1"/>
  <c r="T95" i="1"/>
  <c r="S95" i="1"/>
  <c r="U94" i="1"/>
  <c r="T94" i="1"/>
  <c r="S94" i="1"/>
  <c r="U93" i="1"/>
  <c r="T93" i="1"/>
  <c r="S93" i="1"/>
  <c r="U92" i="1"/>
  <c r="T92" i="1"/>
  <c r="S92" i="1"/>
  <c r="U91" i="1"/>
  <c r="T91" i="1"/>
  <c r="S91" i="1"/>
  <c r="U90" i="1"/>
  <c r="T90" i="1"/>
  <c r="S90" i="1"/>
  <c r="U89" i="1"/>
  <c r="T89" i="1"/>
  <c r="S89" i="1"/>
  <c r="U88" i="1"/>
  <c r="T88" i="1"/>
  <c r="S88" i="1"/>
  <c r="U87" i="1"/>
  <c r="T87" i="1"/>
  <c r="S87" i="1"/>
  <c r="U86" i="1"/>
  <c r="T86" i="1"/>
  <c r="S86" i="1"/>
  <c r="U85" i="1"/>
  <c r="T85" i="1"/>
  <c r="S85" i="1"/>
  <c r="U84" i="1"/>
  <c r="T84" i="1"/>
  <c r="S84" i="1"/>
  <c r="U83" i="1"/>
  <c r="T83" i="1"/>
  <c r="S83" i="1"/>
  <c r="U82" i="1"/>
  <c r="T82" i="1"/>
  <c r="S82" i="1"/>
  <c r="U81" i="1"/>
  <c r="T81" i="1"/>
  <c r="S81" i="1"/>
  <c r="U80" i="1"/>
  <c r="T80" i="1"/>
  <c r="S80" i="1"/>
  <c r="U79" i="1"/>
  <c r="T79" i="1"/>
  <c r="S79" i="1"/>
  <c r="U78" i="1"/>
  <c r="T78" i="1"/>
  <c r="S78" i="1"/>
  <c r="U77" i="1"/>
  <c r="T77" i="1"/>
  <c r="S77" i="1"/>
  <c r="U76" i="1"/>
  <c r="T76" i="1"/>
  <c r="S76" i="1"/>
  <c r="U75" i="1"/>
  <c r="T75" i="1"/>
  <c r="S75" i="1"/>
  <c r="U74" i="1"/>
  <c r="T74" i="1"/>
  <c r="S74" i="1"/>
  <c r="U73" i="1"/>
  <c r="T73" i="1"/>
  <c r="S73" i="1"/>
  <c r="U72" i="1"/>
  <c r="T72" i="1"/>
  <c r="S72" i="1"/>
  <c r="U71" i="1"/>
  <c r="T71" i="1"/>
  <c r="S71" i="1"/>
  <c r="U70" i="1"/>
  <c r="T70" i="1"/>
  <c r="S70" i="1"/>
  <c r="U69" i="1"/>
  <c r="T69" i="1"/>
  <c r="S69" i="1"/>
  <c r="U68" i="1"/>
  <c r="T68" i="1"/>
  <c r="S68" i="1"/>
  <c r="U67" i="1"/>
  <c r="T67" i="1"/>
  <c r="S67" i="1"/>
  <c r="U66" i="1"/>
  <c r="T66" i="1"/>
  <c r="S66" i="1"/>
  <c r="U65" i="1"/>
  <c r="T65" i="1"/>
  <c r="S65" i="1"/>
  <c r="U64" i="1"/>
  <c r="T64" i="1"/>
  <c r="S64" i="1"/>
  <c r="U63" i="1"/>
  <c r="T63" i="1"/>
  <c r="S63" i="1"/>
  <c r="U62" i="1"/>
  <c r="T62" i="1"/>
  <c r="S62" i="1"/>
  <c r="U61" i="1"/>
  <c r="T61" i="1"/>
  <c r="S61" i="1"/>
  <c r="U60" i="1"/>
  <c r="T60" i="1"/>
  <c r="S60" i="1"/>
  <c r="U59" i="1"/>
  <c r="T59" i="1"/>
  <c r="S59" i="1"/>
  <c r="U58" i="1"/>
  <c r="T58" i="1"/>
  <c r="S58" i="1"/>
  <c r="U57" i="1"/>
  <c r="T57" i="1"/>
  <c r="S57" i="1"/>
  <c r="U56" i="1"/>
  <c r="T56" i="1"/>
  <c r="S56" i="1"/>
  <c r="U55" i="1"/>
  <c r="T55" i="1"/>
  <c r="S55" i="1"/>
  <c r="U54" i="1"/>
  <c r="T54" i="1"/>
  <c r="S54" i="1"/>
  <c r="U53" i="1"/>
  <c r="T53" i="1"/>
  <c r="S53" i="1"/>
  <c r="U52" i="1"/>
  <c r="T52" i="1"/>
  <c r="S52" i="1"/>
  <c r="U51" i="1"/>
  <c r="T51" i="1"/>
  <c r="S51" i="1"/>
  <c r="U50" i="1"/>
  <c r="T50" i="1"/>
  <c r="S50" i="1"/>
  <c r="U49" i="1"/>
  <c r="T49" i="1"/>
  <c r="S49" i="1"/>
  <c r="U48" i="1"/>
  <c r="T48" i="1"/>
  <c r="S48" i="1"/>
  <c r="U47" i="1"/>
  <c r="T47" i="1"/>
  <c r="S47" i="1"/>
  <c r="U46" i="1"/>
  <c r="T46" i="1"/>
  <c r="S46" i="1"/>
  <c r="U45" i="1"/>
  <c r="T45" i="1"/>
  <c r="S45" i="1"/>
  <c r="U44" i="1"/>
  <c r="T44" i="1"/>
  <c r="S44" i="1"/>
  <c r="U43" i="1"/>
  <c r="T43" i="1"/>
  <c r="S43" i="1"/>
  <c r="U42" i="1"/>
  <c r="T42" i="1"/>
  <c r="S42" i="1"/>
  <c r="U41" i="1"/>
  <c r="T41" i="1"/>
  <c r="S41" i="1"/>
  <c r="U40" i="1"/>
  <c r="T40" i="1"/>
  <c r="S40" i="1"/>
  <c r="U39" i="1"/>
  <c r="T39" i="1"/>
  <c r="S39" i="1"/>
  <c r="U38" i="1"/>
  <c r="T38" i="1"/>
  <c r="S38" i="1"/>
  <c r="U37" i="1"/>
  <c r="T37" i="1"/>
  <c r="S37" i="1"/>
  <c r="U36" i="1"/>
  <c r="T36" i="1"/>
  <c r="S36" i="1"/>
  <c r="U35" i="1"/>
  <c r="T35" i="1"/>
  <c r="S35" i="1"/>
  <c r="U34" i="1"/>
  <c r="T34" i="1"/>
  <c r="S34" i="1"/>
  <c r="U33" i="1"/>
  <c r="T33" i="1"/>
  <c r="S33" i="1"/>
  <c r="U32" i="1"/>
  <c r="T32" i="1"/>
  <c r="S32" i="1"/>
  <c r="U31" i="1"/>
  <c r="T31" i="1"/>
  <c r="S31" i="1"/>
  <c r="U30" i="1"/>
  <c r="T30" i="1"/>
  <c r="S30" i="1"/>
  <c r="U29" i="1"/>
  <c r="T29" i="1"/>
  <c r="S29" i="1"/>
  <c r="U28" i="1"/>
  <c r="T28" i="1"/>
  <c r="S28" i="1"/>
  <c r="U27" i="1"/>
  <c r="T27" i="1"/>
  <c r="S27" i="1"/>
  <c r="U26" i="1"/>
  <c r="T26" i="1"/>
  <c r="S26" i="1"/>
  <c r="W25" i="1"/>
  <c r="U25" i="1"/>
  <c r="T25" i="1"/>
  <c r="S25" i="1"/>
  <c r="W24" i="1"/>
  <c r="U24" i="1"/>
  <c r="T24" i="1"/>
  <c r="S24" i="1"/>
  <c r="W23" i="1"/>
  <c r="U23" i="1"/>
  <c r="T23" i="1"/>
  <c r="S23" i="1"/>
  <c r="W22" i="1"/>
  <c r="U22" i="1"/>
  <c r="T22" i="1"/>
  <c r="S22" i="1"/>
  <c r="W21" i="1"/>
  <c r="U21" i="1"/>
  <c r="T21" i="1"/>
  <c r="S21" i="1"/>
  <c r="W20" i="1"/>
  <c r="U20" i="1"/>
  <c r="T20" i="1"/>
  <c r="S20" i="1"/>
  <c r="W19" i="1"/>
  <c r="U19" i="1"/>
  <c r="T19" i="1"/>
  <c r="S19" i="1"/>
  <c r="W18" i="1"/>
  <c r="U18" i="1"/>
  <c r="T18" i="1"/>
  <c r="S18" i="1"/>
  <c r="W17" i="1"/>
  <c r="U17" i="1"/>
  <c r="T17" i="1"/>
  <c r="S17" i="1"/>
  <c r="W16" i="1"/>
  <c r="U16" i="1"/>
  <c r="T16" i="1"/>
  <c r="S16" i="1"/>
  <c r="W15" i="1"/>
  <c r="U15" i="1"/>
  <c r="T15" i="1"/>
  <c r="S15" i="1"/>
  <c r="W14" i="1"/>
  <c r="U14" i="1"/>
  <c r="T14" i="1"/>
  <c r="S14" i="1"/>
  <c r="W13" i="1"/>
  <c r="U13" i="1"/>
  <c r="T13" i="1"/>
  <c r="S13" i="1"/>
  <c r="W12" i="1"/>
  <c r="U12" i="1"/>
  <c r="T12" i="1"/>
  <c r="S12" i="1"/>
  <c r="W11" i="1"/>
  <c r="U11" i="1"/>
  <c r="T11" i="1"/>
  <c r="S11" i="1"/>
  <c r="W10" i="1"/>
  <c r="U10" i="1"/>
  <c r="T10" i="1"/>
  <c r="S10" i="1"/>
  <c r="W9" i="1"/>
  <c r="U9" i="1"/>
  <c r="T9" i="1"/>
  <c r="S9" i="1"/>
  <c r="W8" i="1"/>
  <c r="U8" i="1"/>
  <c r="T8" i="1"/>
  <c r="S8" i="1"/>
  <c r="W7" i="1"/>
  <c r="U7" i="1"/>
  <c r="T7" i="1"/>
  <c r="S7" i="1"/>
  <c r="U6" i="1"/>
  <c r="T6" i="1"/>
  <c r="S6" i="1"/>
  <c r="U5" i="1"/>
  <c r="T5" i="1"/>
  <c r="S5" i="1"/>
  <c r="U4" i="1"/>
  <c r="T4" i="1"/>
  <c r="S4" i="1"/>
  <c r="U3" i="1"/>
  <c r="T3" i="1"/>
  <c r="S3" i="1"/>
  <c r="U2" i="1"/>
  <c r="T2" i="1"/>
  <c r="S2" i="1"/>
</calcChain>
</file>

<file path=xl/sharedStrings.xml><?xml version="1.0" encoding="utf-8"?>
<sst xmlns="http://schemas.openxmlformats.org/spreadsheetml/2006/main" count="1263" uniqueCount="54">
  <si>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</si>
  <si>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</si>
  <si>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</si>
  <si>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</si>
  <si>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</si>
  <si>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</si>
  <si>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</si>
  <si>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</si>
  <si>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</si>
  <si>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</si>
  <si>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</si>
  <si>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</si>
  <si>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</si>
  <si>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</si>
  <si>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</si>
  <si>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</si>
  <si>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Weekday_By Name</t>
  </si>
  <si>
    <t>Weather</t>
  </si>
  <si>
    <t>Rash Hour</t>
  </si>
  <si>
    <t>Demand Category</t>
  </si>
  <si>
    <t>Times of Day</t>
  </si>
  <si>
    <t>Sunday</t>
  </si>
  <si>
    <t>Mild Cold</t>
  </si>
  <si>
    <t>Summary</t>
  </si>
  <si>
    <t>Maric</t>
  </si>
  <si>
    <t>Result</t>
  </si>
  <si>
    <t>More Than Mild</t>
  </si>
  <si>
    <t>Total Records</t>
  </si>
  <si>
    <t>Total Rides</t>
  </si>
  <si>
    <t>Total Casual</t>
  </si>
  <si>
    <t>Total Registered</t>
  </si>
  <si>
    <t>Average Rides/Hour</t>
  </si>
  <si>
    <t>Max Rides Single Hour</t>
  </si>
  <si>
    <t>Min Rides Single Hour</t>
  </si>
  <si>
    <t>Std Deviation</t>
  </si>
  <si>
    <t>Casual %</t>
  </si>
  <si>
    <t>Registered %</t>
  </si>
  <si>
    <t>Holiday Hours</t>
  </si>
  <si>
    <t>Mild Weather Hours</t>
  </si>
  <si>
    <t>High Demand Hours</t>
  </si>
  <si>
    <t>Dark Cloude</t>
  </si>
  <si>
    <t>Medium Demand Hours</t>
  </si>
  <si>
    <t>Low Demand Hours</t>
  </si>
  <si>
    <t>Rush Hour Count</t>
  </si>
  <si>
    <t>Temp vs Rides Correl</t>
  </si>
  <si>
    <t>Humidity vs Rides Correl</t>
  </si>
  <si>
    <t>Windspeed vs Rides Correl</t>
  </si>
  <si>
    <t>Monday</t>
  </si>
  <si>
    <t>Tuesday</t>
  </si>
  <si>
    <t>Wednesday</t>
  </si>
  <si>
    <t>Thursday</t>
  </si>
  <si>
    <t>Friday</t>
  </si>
  <si>
    <t>Saturday</t>
  </si>
  <si>
    <t>Thander Storm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</si>
</sst>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14181F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vertical="center"/>
    </xf>
    <xf numFmtId="0" fontId="0" fillId="2" borderId="0" xfId="0" applyFill="1"/>
    <xf numFmtId="0" fontId="0" fillId="3" borderId="3" xfId="0" applyFill="1" applyBorder="1"/>
    <xf numFmtId="0" fontId="0" fillId="4" borderId="0" xfId="0" applyFill="1"/>
    <xf numFmtId="0" fontId="3" fillId="3" borderId="3" xfId="0" applyFont="1" applyFill="1" applyBorder="1" applyAlignment="1">
      <alignment vertical="center" wrapText="1"/>
    </xf>
    <xf numFmtId="0" fontId="4" fillId="3" borderId="3" xfId="0" applyFont="1" applyFill="1" applyBorder="1"/>
    <xf numFmtId="0" fontId="4" fillId="4" borderId="0" xfId="0" applyFont="1" applyFill="1"/>
    <xf numFmtId="0" fontId="4" fillId="3" borderId="3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2" fillId="3" borderId="3" xfId="0" applyFont="1" applyFill="1" applyBorder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3CD4D-098E-456F-89E7-B9207096309F}">
  <dimension ref="A1:Y611"/>
  <sheetViews>
    <sheetView tabSelected="1" zoomScale="75" zoomScaleNormal="75" workbookViewId="0">
      <pane ySplit="1" topLeftCell="A2" activePane="bottomLeft" state="frozen"/>
      <selection pane="bottomLeft" sqref="A1:XFD1"/>
    </sheetView>
  </sheetViews>
  <sheetFormatPr defaultColWidth="16" defaultRowHeight="15" x14ac:dyDescent="0.25"/>
  <cols>
    <col min="17" max="17" width="21" customWidth="1"/>
    <col min="24" max="24" width="27.28515625" customWidth="1"/>
  </cols>
  <sheetData>
    <row r="1" spans="1:25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/>
      <c r="W1" s="4"/>
    </row>
    <row r="2" spans="1:25" ht="15.75" thickBot="1" x14ac:dyDescent="0.3">
      <c r="A2" s="5">
        <v>1</v>
      </c>
      <c r="B2" s="6">
        <v>40544</v>
      </c>
      <c r="C2" s="5">
        <v>1</v>
      </c>
      <c r="D2" s="5">
        <v>0</v>
      </c>
      <c r="E2" s="5">
        <v>1</v>
      </c>
      <c r="F2" s="5">
        <v>0</v>
      </c>
      <c r="G2" s="7" t="b">
        <v>0</v>
      </c>
      <c r="H2" s="5">
        <v>6</v>
      </c>
      <c r="I2" s="5">
        <v>1</v>
      </c>
      <c r="J2" s="5">
        <v>0.24</v>
      </c>
      <c r="K2"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  <c r="Q2" t="s">
        <v>21</v>
      </c>
      <c r="R2" t="s">
        <v>22</v>
      </c>
      <c r="S2" s="8" t="str">
        <f>IF(OR(AND(F2&gt;=7,F2&lt;=9),AND(F2&gt;=17,F2&lt;=19)),"Rush Hour","Normal")</f>
        <v>Normal</v>
      </c>
      <c r="T2" s="8" t="str">
        <f>IF(P2&gt;150,"High",IF(P2&gt;50,"Medium","Low"))</f>
        <v>Low</v>
      </c>
      <c r="U2" s="8" t="str">
        <f>IF(F2&lt;6,"Night", IF(F2&lt;12,"Morning", IF(F2&lt;18,"Afternoon","Evening")))</f>
        <v>Night</v>
      </c>
      <c r="V2" s="8"/>
      <c r="W2" s="8"/>
    </row>
    <row r="3" spans="1:25" ht="15.75" thickBot="1" x14ac:dyDescent="0.3">
      <c r="A3" s="5">
        <v>2</v>
      </c>
      <c r="B3" s="6">
        <v>40544</v>
      </c>
      <c r="C3" s="5">
        <v>1</v>
      </c>
      <c r="D3" s="5">
        <v>0</v>
      </c>
      <c r="E3" s="5">
        <v>1</v>
      </c>
      <c r="F3" s="5">
        <v>1</v>
      </c>
      <c r="G3" s="7" t="b">
        <v>0</v>
      </c>
      <c r="H3" s="5">
        <v>6</v>
      </c>
      <c r="I3" s="5">
        <v>1</v>
      </c>
      <c r="J3" s="5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  <c r="Q3" t="s">
        <v>21</v>
      </c>
      <c r="R3" t="s">
        <v>22</v>
      </c>
      <c r="S3" s="8" t="str">
        <f t="shared" ref="S3:S66" si="0">IF(OR(AND(F3&gt;=7,F3&lt;=9),AND(F3&gt;=17,F3&lt;=19)),"Rush Hour","Normal")</f>
        <v>Normal</v>
      </c>
      <c r="T3" s="8" t="str">
        <f t="shared" ref="T3:T66" si="1">IF(P3&gt;150,"High",IF(P3&gt;50,"Medium","Low"))</f>
        <v>Low</v>
      </c>
      <c r="U3" s="8" t="str">
        <f t="shared" ref="U3:U66" si="2">IF(F3&lt;6,"Night", IF(F3&lt;12,"Morning", IF(F3&lt;18,"Afternoon","Evening")))</f>
        <v>Night</v>
      </c>
      <c r="V3" s="8"/>
      <c r="W3" s="8"/>
    </row>
    <row r="4" spans="1:25" ht="15.75" thickBot="1" x14ac:dyDescent="0.3">
      <c r="A4" s="5">
        <v>3</v>
      </c>
      <c r="B4" s="6">
        <v>40544</v>
      </c>
      <c r="C4" s="5">
        <v>1</v>
      </c>
      <c r="D4" s="5">
        <v>0</v>
      </c>
      <c r="E4" s="5">
        <v>1</v>
      </c>
      <c r="F4" s="5">
        <v>2</v>
      </c>
      <c r="G4" s="7" t="b">
        <v>0</v>
      </c>
      <c r="H4" s="5">
        <v>6</v>
      </c>
      <c r="I4" s="5">
        <v>1</v>
      </c>
      <c r="J4" s="5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  <c r="Q4" t="s">
        <v>21</v>
      </c>
      <c r="R4" t="s">
        <v>22</v>
      </c>
      <c r="S4" s="8" t="str">
        <f t="shared" si="0"/>
        <v>Normal</v>
      </c>
      <c r="T4" s="8" t="str">
        <f t="shared" si="1"/>
        <v>Low</v>
      </c>
      <c r="U4" s="8" t="str">
        <f t="shared" si="2"/>
        <v>Night</v>
      </c>
      <c r="V4" s="9" t="s">
        <v>23</v>
      </c>
    </row>
    <row r="5" spans="1:25" ht="15.75" thickBot="1" x14ac:dyDescent="0.3">
      <c r="A5" s="5">
        <v>4</v>
      </c>
      <c r="B5" s="6">
        <v>40544</v>
      </c>
      <c r="C5" s="5">
        <v>1</v>
      </c>
      <c r="D5" s="5">
        <v>0</v>
      </c>
      <c r="E5" s="5">
        <v>1</v>
      </c>
      <c r="F5" s="5">
        <v>3</v>
      </c>
      <c r="G5" s="7" t="b">
        <v>0</v>
      </c>
      <c r="H5" s="5">
        <v>6</v>
      </c>
      <c r="I5" s="5">
        <v>1</v>
      </c>
      <c r="J5" s="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  <c r="Q5" t="s">
        <v>21</v>
      </c>
      <c r="R5" t="s">
        <v>22</v>
      </c>
      <c r="S5" s="8" t="str">
        <f t="shared" si="0"/>
        <v>Normal</v>
      </c>
      <c r="T5" s="8" t="str">
        <f t="shared" si="1"/>
        <v>Low</v>
      </c>
      <c r="U5" s="8" t="str">
        <f t="shared" si="2"/>
        <v>Night</v>
      </c>
    </row>
    <row r="6" spans="1:25" ht="15.75" thickBot="1" x14ac:dyDescent="0.3">
      <c r="A6" s="5">
        <v>5</v>
      </c>
      <c r="B6" s="6">
        <v>40544</v>
      </c>
      <c r="C6" s="5">
        <v>1</v>
      </c>
      <c r="D6" s="5">
        <v>0</v>
      </c>
      <c r="E6" s="5">
        <v>1</v>
      </c>
      <c r="F6" s="5">
        <v>4</v>
      </c>
      <c r="G6" s="7" t="b">
        <v>0</v>
      </c>
      <c r="H6" s="5">
        <v>6</v>
      </c>
      <c r="I6" s="5">
        <v>1</v>
      </c>
      <c r="J6" s="5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  <c r="Q6" t="s">
        <v>21</v>
      </c>
      <c r="R6" t="s">
        <v>22</v>
      </c>
      <c r="S6" s="8" t="str">
        <f t="shared" si="0"/>
        <v>Normal</v>
      </c>
      <c r="T6" s="8" t="str">
        <f t="shared" si="1"/>
        <v>Low</v>
      </c>
      <c r="U6" s="8" t="str">
        <f t="shared" si="2"/>
        <v>Night</v>
      </c>
      <c r="V6" s="10" t="s">
        <v>24</v>
      </c>
      <c r="W6" s="10" t="s">
        <v>25</v>
      </c>
      <c r="Y6" s="11"/>
    </row>
    <row r="7" spans="1:25" ht="16.5" thickBot="1" x14ac:dyDescent="0.3">
      <c r="A7" s="5">
        <v>6</v>
      </c>
      <c r="B7" s="6">
        <v>40544</v>
      </c>
      <c r="C7" s="5">
        <v>1</v>
      </c>
      <c r="D7" s="5">
        <v>0</v>
      </c>
      <c r="E7" s="5">
        <v>1</v>
      </c>
      <c r="F7" s="5">
        <v>5</v>
      </c>
      <c r="G7" s="7" t="b">
        <v>0</v>
      </c>
      <c r="H7" s="5">
        <v>6</v>
      </c>
      <c r="I7" s="5">
        <v>2</v>
      </c>
      <c r="J7" s="5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  <c r="Q7" t="s">
        <v>21</v>
      </c>
      <c r="R7" t="s">
        <v>26</v>
      </c>
      <c r="S7" s="8" t="str">
        <f t="shared" si="0"/>
        <v>Normal</v>
      </c>
      <c r="T7" s="8" t="str">
        <f t="shared" si="1"/>
        <v>Low</v>
      </c>
      <c r="U7" s="8" t="str">
        <f t="shared" si="2"/>
        <v>Night</v>
      </c>
      <c r="V7" s="12" t="s">
        <v>27</v>
      </c>
      <c r="W7" s="13">
        <f>COUNT(#REF!)</f>
        <v>0</v>
      </c>
      <c r="Y7" s="14"/>
    </row>
    <row r="8" spans="1:25" ht="16.5" thickBot="1" x14ac:dyDescent="0.3">
      <c r="A8" s="5">
        <v>7</v>
      </c>
      <c r="B8" s="6">
        <v>40544</v>
      </c>
      <c r="C8" s="5">
        <v>1</v>
      </c>
      <c r="D8" s="5">
        <v>0</v>
      </c>
      <c r="E8" s="5">
        <v>1</v>
      </c>
      <c r="F8" s="5">
        <v>6</v>
      </c>
      <c r="G8" s="7" t="b">
        <v>0</v>
      </c>
      <c r="H8" s="5">
        <v>6</v>
      </c>
      <c r="I8" s="5">
        <v>1</v>
      </c>
      <c r="J8" s="5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  <c r="Q8" t="s">
        <v>21</v>
      </c>
      <c r="R8" t="s">
        <v>22</v>
      </c>
      <c r="S8" s="8" t="str">
        <f t="shared" si="0"/>
        <v>Normal</v>
      </c>
      <c r="T8" s="8" t="str">
        <f t="shared" si="1"/>
        <v>Low</v>
      </c>
      <c r="U8" s="8" t="str">
        <f t="shared" si="2"/>
        <v>Morning</v>
      </c>
      <c r="V8" s="12" t="s">
        <v>28</v>
      </c>
      <c r="W8" s="15">
        <f>SUM(N:N)</f>
        <v>2746</v>
      </c>
      <c r="Y8" s="16"/>
    </row>
    <row r="9" spans="1:25" ht="16.5" thickBot="1" x14ac:dyDescent="0.3">
      <c r="A9" s="5">
        <v>8</v>
      </c>
      <c r="B9" s="6">
        <v>40544</v>
      </c>
      <c r="C9" s="5">
        <v>1</v>
      </c>
      <c r="D9" s="5">
        <v>0</v>
      </c>
      <c r="E9" s="5">
        <v>1</v>
      </c>
      <c r="F9" s="5">
        <v>7</v>
      </c>
      <c r="G9" s="7" t="b">
        <v>0</v>
      </c>
      <c r="H9" s="5">
        <v>6</v>
      </c>
      <c r="I9" s="5">
        <v>1</v>
      </c>
      <c r="J9" s="5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  <c r="Q9" t="s">
        <v>21</v>
      </c>
      <c r="R9" t="s">
        <v>22</v>
      </c>
      <c r="S9" s="8" t="str">
        <f t="shared" si="0"/>
        <v>Rush Hour</v>
      </c>
      <c r="T9" s="8" t="str">
        <f t="shared" si="1"/>
        <v>Low</v>
      </c>
      <c r="U9" s="8" t="str">
        <f t="shared" si="2"/>
        <v>Morning</v>
      </c>
      <c r="V9" s="12" t="s">
        <v>29</v>
      </c>
      <c r="W9" s="10">
        <f>SUM(L:L)</f>
        <v>343.11000000000087</v>
      </c>
      <c r="Y9" s="11"/>
    </row>
    <row r="10" spans="1:25" ht="16.5" thickBot="1" x14ac:dyDescent="0.3">
      <c r="A10" s="5">
        <v>9</v>
      </c>
      <c r="B10" s="6">
        <v>40544</v>
      </c>
      <c r="C10" s="5">
        <v>1</v>
      </c>
      <c r="D10" s="5">
        <v>0</v>
      </c>
      <c r="E10" s="5">
        <v>1</v>
      </c>
      <c r="F10" s="5">
        <v>8</v>
      </c>
      <c r="G10" s="7" t="b">
        <v>0</v>
      </c>
      <c r="H10" s="5">
        <v>6</v>
      </c>
      <c r="I10" s="5">
        <v>1</v>
      </c>
      <c r="J10" s="5">
        <v>0.24</v>
      </c>
      <c r="K10">
        <v>0.28789999999999999</v>
      </c>
      <c r="L10">
        <v>0.75</v>
      </c>
      <c r="M10">
        <v>0</v>
      </c>
      <c r="N10">
        <v>1</v>
      </c>
      <c r="O10">
        <v>7</v>
      </c>
      <c r="P10">
        <v>8</v>
      </c>
      <c r="Q10" t="s">
        <v>21</v>
      </c>
      <c r="R10" t="s">
        <v>22</v>
      </c>
      <c r="S10" s="8" t="str">
        <f t="shared" si="0"/>
        <v>Rush Hour</v>
      </c>
      <c r="T10" s="8" t="str">
        <f t="shared" si="1"/>
        <v>Low</v>
      </c>
      <c r="U10" s="8" t="str">
        <f t="shared" si="2"/>
        <v>Morning</v>
      </c>
      <c r="V10" s="12" t="s">
        <v>30</v>
      </c>
      <c r="W10" s="10">
        <f>SUM(M2:M611)</f>
        <v>124.95910000000001</v>
      </c>
      <c r="Y10" s="11"/>
    </row>
    <row r="11" spans="1:25" ht="32.25" thickBot="1" x14ac:dyDescent="0.3">
      <c r="A11" s="5">
        <v>10</v>
      </c>
      <c r="B11" s="6">
        <v>40544</v>
      </c>
      <c r="C11" s="5">
        <v>1</v>
      </c>
      <c r="D11" s="5">
        <v>0</v>
      </c>
      <c r="E11" s="5">
        <v>1</v>
      </c>
      <c r="F11" s="5">
        <v>9</v>
      </c>
      <c r="G11" s="7" t="b">
        <v>0</v>
      </c>
      <c r="H11" s="5">
        <v>6</v>
      </c>
      <c r="I11" s="5">
        <v>1</v>
      </c>
      <c r="J11" s="5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  <c r="Q11" t="s">
        <v>21</v>
      </c>
      <c r="R11" t="s">
        <v>22</v>
      </c>
      <c r="S11" s="8" t="str">
        <f t="shared" si="0"/>
        <v>Rush Hour</v>
      </c>
      <c r="T11" s="8" t="str">
        <f t="shared" si="1"/>
        <v>Low</v>
      </c>
      <c r="U11" s="8" t="str">
        <f t="shared" si="2"/>
        <v>Morning</v>
      </c>
      <c r="V11" s="12" t="s">
        <v>31</v>
      </c>
      <c r="W11" s="10">
        <f>AVERAGE(N:N)</f>
        <v>4.5016393442622951</v>
      </c>
      <c r="Y11" s="11"/>
    </row>
    <row r="12" spans="1:25" ht="32.25" thickBot="1" x14ac:dyDescent="0.3">
      <c r="A12" s="5">
        <v>11</v>
      </c>
      <c r="B12" s="6">
        <v>40544</v>
      </c>
      <c r="C12" s="5">
        <v>1</v>
      </c>
      <c r="D12" s="5">
        <v>0</v>
      </c>
      <c r="E12" s="5">
        <v>1</v>
      </c>
      <c r="F12" s="5">
        <v>10</v>
      </c>
      <c r="G12" s="7" t="b">
        <v>0</v>
      </c>
      <c r="H12" s="5">
        <v>6</v>
      </c>
      <c r="I12" s="5">
        <v>1</v>
      </c>
      <c r="J12" s="5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  <c r="Q12" t="s">
        <v>21</v>
      </c>
      <c r="R12" t="s">
        <v>22</v>
      </c>
      <c r="S12" s="8" t="str">
        <f t="shared" si="0"/>
        <v>Normal</v>
      </c>
      <c r="T12" s="8" t="str">
        <f t="shared" si="1"/>
        <v>Low</v>
      </c>
      <c r="U12" s="8" t="str">
        <f t="shared" si="2"/>
        <v>Morning</v>
      </c>
      <c r="V12" s="12" t="s">
        <v>32</v>
      </c>
      <c r="W12" s="10">
        <f>MAX(N:N)</f>
        <v>47</v>
      </c>
      <c r="Y12" s="11"/>
    </row>
    <row r="13" spans="1:25" ht="32.25" thickBot="1" x14ac:dyDescent="0.3">
      <c r="A13" s="5">
        <v>12</v>
      </c>
      <c r="B13" s="6">
        <v>40544</v>
      </c>
      <c r="C13" s="5">
        <v>1</v>
      </c>
      <c r="D13" s="5">
        <v>0</v>
      </c>
      <c r="E13" s="5">
        <v>1</v>
      </c>
      <c r="F13" s="5">
        <v>11</v>
      </c>
      <c r="G13" s="7" t="b">
        <v>0</v>
      </c>
      <c r="H13" s="5">
        <v>6</v>
      </c>
      <c r="I13" s="5">
        <v>1</v>
      </c>
      <c r="J13" s="5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  <c r="Q13" t="s">
        <v>21</v>
      </c>
      <c r="R13" t="s">
        <v>22</v>
      </c>
      <c r="S13" s="8" t="str">
        <f t="shared" si="0"/>
        <v>Normal</v>
      </c>
      <c r="T13" s="8" t="str">
        <f t="shared" si="1"/>
        <v>Medium</v>
      </c>
      <c r="U13" s="8" t="str">
        <f t="shared" si="2"/>
        <v>Morning</v>
      </c>
      <c r="V13" s="12" t="s">
        <v>33</v>
      </c>
      <c r="W13" s="10">
        <f>MIN(N:N)</f>
        <v>0</v>
      </c>
      <c r="Y13" s="11"/>
    </row>
    <row r="14" spans="1:25" ht="16.5" thickBot="1" x14ac:dyDescent="0.3">
      <c r="A14" s="5">
        <v>13</v>
      </c>
      <c r="B14" s="6">
        <v>40544</v>
      </c>
      <c r="C14" s="5">
        <v>1</v>
      </c>
      <c r="D14" s="5">
        <v>0</v>
      </c>
      <c r="E14" s="5">
        <v>1</v>
      </c>
      <c r="F14" s="5">
        <v>12</v>
      </c>
      <c r="G14" s="7" t="b">
        <v>0</v>
      </c>
      <c r="H14" s="5">
        <v>6</v>
      </c>
      <c r="I14" s="5">
        <v>1</v>
      </c>
      <c r="J14" s="5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  <c r="Q14" t="s">
        <v>21</v>
      </c>
      <c r="R14" t="s">
        <v>22</v>
      </c>
      <c r="S14" s="8" t="str">
        <f t="shared" si="0"/>
        <v>Normal</v>
      </c>
      <c r="T14" s="8" t="str">
        <f t="shared" si="1"/>
        <v>Medium</v>
      </c>
      <c r="U14" s="8" t="str">
        <f t="shared" si="2"/>
        <v>Afternoon</v>
      </c>
      <c r="V14" s="12" t="s">
        <v>34</v>
      </c>
      <c r="W14" s="10">
        <f>STDEV(N:N)</f>
        <v>6.3199450176174228</v>
      </c>
      <c r="Y14" s="11"/>
    </row>
    <row r="15" spans="1:25" ht="16.5" thickBot="1" x14ac:dyDescent="0.3">
      <c r="A15" s="5">
        <v>14</v>
      </c>
      <c r="B15" s="6">
        <v>40544</v>
      </c>
      <c r="C15" s="5">
        <v>1</v>
      </c>
      <c r="D15" s="5">
        <v>0</v>
      </c>
      <c r="E15" s="5">
        <v>1</v>
      </c>
      <c r="F15" s="5">
        <v>13</v>
      </c>
      <c r="G15" s="7" t="b">
        <v>0</v>
      </c>
      <c r="H15" s="5">
        <v>6</v>
      </c>
      <c r="I15" s="5">
        <v>2</v>
      </c>
      <c r="J15" s="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  <c r="Q15" t="s">
        <v>21</v>
      </c>
      <c r="R15" t="s">
        <v>26</v>
      </c>
      <c r="S15" s="8" t="str">
        <f t="shared" si="0"/>
        <v>Normal</v>
      </c>
      <c r="T15" s="8" t="str">
        <f t="shared" si="1"/>
        <v>Medium</v>
      </c>
      <c r="U15" s="8" t="str">
        <f t="shared" si="2"/>
        <v>Afternoon</v>
      </c>
      <c r="V15" s="12" t="s">
        <v>35</v>
      </c>
      <c r="W15" s="17">
        <f>SUM(L:L)/SUM(J:J)</f>
        <v>2.8568692756036698</v>
      </c>
      <c r="Y15" s="18"/>
    </row>
    <row r="16" spans="1:25" ht="16.5" thickBot="1" x14ac:dyDescent="0.3">
      <c r="A16" s="5">
        <v>15</v>
      </c>
      <c r="B16" s="6">
        <v>40544</v>
      </c>
      <c r="C16" s="5">
        <v>1</v>
      </c>
      <c r="D16" s="5">
        <v>0</v>
      </c>
      <c r="E16" s="5">
        <v>1</v>
      </c>
      <c r="F16" s="5">
        <v>14</v>
      </c>
      <c r="G16" s="7" t="b">
        <v>0</v>
      </c>
      <c r="H16" s="5">
        <v>6</v>
      </c>
      <c r="I16" s="5">
        <v>2</v>
      </c>
      <c r="J16" s="5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  <c r="Q16" t="s">
        <v>21</v>
      </c>
      <c r="R16" t="s">
        <v>26</v>
      </c>
      <c r="S16" s="8" t="str">
        <f t="shared" si="0"/>
        <v>Normal</v>
      </c>
      <c r="T16" s="8" t="str">
        <f t="shared" si="1"/>
        <v>Medium</v>
      </c>
      <c r="U16" s="8" t="str">
        <f t="shared" si="2"/>
        <v>Afternoon</v>
      </c>
      <c r="V16" s="12" t="s">
        <v>36</v>
      </c>
      <c r="W16" s="17">
        <f>SUM(M:M)/SUM(J:J)</f>
        <v>1.0404587843463777</v>
      </c>
      <c r="Y16" s="18"/>
    </row>
    <row r="17" spans="1:25" ht="16.5" thickBot="1" x14ac:dyDescent="0.3">
      <c r="A17" s="5">
        <v>16</v>
      </c>
      <c r="B17" s="6">
        <v>40544</v>
      </c>
      <c r="C17" s="5">
        <v>1</v>
      </c>
      <c r="D17" s="5">
        <v>0</v>
      </c>
      <c r="E17" s="5">
        <v>1</v>
      </c>
      <c r="F17" s="5">
        <v>15</v>
      </c>
      <c r="G17" s="7" t="b">
        <v>0</v>
      </c>
      <c r="H17" s="5">
        <v>6</v>
      </c>
      <c r="I17" s="5">
        <v>2</v>
      </c>
      <c r="J17" s="5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  <c r="Q17" t="s">
        <v>21</v>
      </c>
      <c r="R17" t="s">
        <v>26</v>
      </c>
      <c r="S17" s="8" t="str">
        <f t="shared" si="0"/>
        <v>Normal</v>
      </c>
      <c r="T17" s="8" t="str">
        <f t="shared" si="1"/>
        <v>Medium</v>
      </c>
      <c r="U17" s="8" t="str">
        <f t="shared" si="2"/>
        <v>Afternoon</v>
      </c>
      <c r="V17" s="12" t="s">
        <v>37</v>
      </c>
      <c r="W17" s="13">
        <f>COUNTIF(E:E,TRUE)</f>
        <v>0</v>
      </c>
      <c r="Y17" s="14"/>
    </row>
    <row r="18" spans="1:25" ht="32.25" thickBot="1" x14ac:dyDescent="0.3">
      <c r="A18" s="5">
        <v>17</v>
      </c>
      <c r="B18" s="6">
        <v>40544</v>
      </c>
      <c r="C18" s="5">
        <v>1</v>
      </c>
      <c r="D18" s="5">
        <v>0</v>
      </c>
      <c r="E18" s="5">
        <v>1</v>
      </c>
      <c r="F18" s="5">
        <v>16</v>
      </c>
      <c r="G18" s="7" t="b">
        <v>0</v>
      </c>
      <c r="H18" s="5">
        <v>6</v>
      </c>
      <c r="I18" s="5">
        <v>2</v>
      </c>
      <c r="J18" s="5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  <c r="Q18" t="s">
        <v>21</v>
      </c>
      <c r="R18" t="s">
        <v>26</v>
      </c>
      <c r="S18" s="8" t="str">
        <f t="shared" si="0"/>
        <v>Normal</v>
      </c>
      <c r="T18" s="8" t="str">
        <f t="shared" si="1"/>
        <v>Medium</v>
      </c>
      <c r="U18" s="8" t="str">
        <f t="shared" si="2"/>
        <v>Afternoon</v>
      </c>
      <c r="V18" s="12" t="s">
        <v>38</v>
      </c>
      <c r="W18" s="13">
        <f>COUNTIF(P:P,"Mild Cold")</f>
        <v>0</v>
      </c>
      <c r="Y18" s="14"/>
    </row>
    <row r="19" spans="1:25" ht="32.25" thickBot="1" x14ac:dyDescent="0.3">
      <c r="A19" s="5">
        <v>18</v>
      </c>
      <c r="B19" s="6">
        <v>40544</v>
      </c>
      <c r="C19" s="5">
        <v>1</v>
      </c>
      <c r="D19" s="5">
        <v>0</v>
      </c>
      <c r="E19" s="5">
        <v>1</v>
      </c>
      <c r="F19" s="5">
        <v>17</v>
      </c>
      <c r="G19" s="7" t="b">
        <v>0</v>
      </c>
      <c r="H19" s="5">
        <v>6</v>
      </c>
      <c r="I19" s="5">
        <v>2</v>
      </c>
      <c r="J19" s="5">
        <v>0.44</v>
      </c>
      <c r="K19">
        <v>0.34849999999999998</v>
      </c>
      <c r="L19">
        <v>0.82</v>
      </c>
      <c r="M19">
        <v>0.28360000000000002</v>
      </c>
      <c r="N19">
        <v>15</v>
      </c>
      <c r="O19">
        <v>52</v>
      </c>
      <c r="P19">
        <v>67</v>
      </c>
      <c r="Q19" t="s">
        <v>21</v>
      </c>
      <c r="R19" t="s">
        <v>26</v>
      </c>
      <c r="S19" s="8" t="str">
        <f t="shared" si="0"/>
        <v>Rush Hour</v>
      </c>
      <c r="T19" s="8" t="str">
        <f t="shared" si="1"/>
        <v>Medium</v>
      </c>
      <c r="U19" s="8" t="str">
        <f t="shared" si="2"/>
        <v>Afternoon</v>
      </c>
      <c r="V19" s="12" t="s">
        <v>39</v>
      </c>
      <c r="W19" s="13">
        <f>COUNTIF(R:R,"High")</f>
        <v>0</v>
      </c>
      <c r="Y19" s="14"/>
    </row>
    <row r="20" spans="1:25" ht="32.25" thickBot="1" x14ac:dyDescent="0.3">
      <c r="A20" s="5">
        <v>19</v>
      </c>
      <c r="B20" s="6">
        <v>40544</v>
      </c>
      <c r="C20" s="5">
        <v>1</v>
      </c>
      <c r="D20" s="5">
        <v>0</v>
      </c>
      <c r="E20" s="5">
        <v>1</v>
      </c>
      <c r="F20" s="5">
        <v>18</v>
      </c>
      <c r="G20" s="7" t="b">
        <v>0</v>
      </c>
      <c r="H20" s="5">
        <v>6</v>
      </c>
      <c r="I20" s="5">
        <v>3</v>
      </c>
      <c r="J20" s="5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  <c r="Q20" t="s">
        <v>21</v>
      </c>
      <c r="R20" t="s">
        <v>40</v>
      </c>
      <c r="S20" s="8" t="str">
        <f t="shared" si="0"/>
        <v>Rush Hour</v>
      </c>
      <c r="T20" s="8" t="str">
        <f t="shared" si="1"/>
        <v>Low</v>
      </c>
      <c r="U20" s="8" t="str">
        <f t="shared" si="2"/>
        <v>Evening</v>
      </c>
      <c r="V20" s="12" t="s">
        <v>41</v>
      </c>
      <c r="W20" s="13">
        <f>COUNTIF(R:R,"Medium")</f>
        <v>0</v>
      </c>
      <c r="Y20" s="14"/>
    </row>
    <row r="21" spans="1:25" ht="32.25" thickBot="1" x14ac:dyDescent="0.3">
      <c r="A21" s="5">
        <v>20</v>
      </c>
      <c r="B21" s="6">
        <v>40544</v>
      </c>
      <c r="C21" s="5">
        <v>1</v>
      </c>
      <c r="D21" s="5">
        <v>0</v>
      </c>
      <c r="E21" s="5">
        <v>1</v>
      </c>
      <c r="F21" s="5">
        <v>19</v>
      </c>
      <c r="G21" s="7" t="b">
        <v>0</v>
      </c>
      <c r="H21" s="5">
        <v>6</v>
      </c>
      <c r="I21" s="5">
        <v>3</v>
      </c>
      <c r="J21" s="5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  <c r="Q21" t="s">
        <v>21</v>
      </c>
      <c r="R21" t="s">
        <v>40</v>
      </c>
      <c r="S21" s="8" t="str">
        <f t="shared" si="0"/>
        <v>Rush Hour</v>
      </c>
      <c r="T21" s="8" t="str">
        <f t="shared" si="1"/>
        <v>Low</v>
      </c>
      <c r="U21" s="8" t="str">
        <f t="shared" si="2"/>
        <v>Evening</v>
      </c>
      <c r="V21" s="12" t="s">
        <v>42</v>
      </c>
      <c r="W21" s="13">
        <f>COUNTIF(R:R,"Low")</f>
        <v>0</v>
      </c>
      <c r="Y21" s="14"/>
    </row>
    <row r="22" spans="1:25" ht="32.25" thickBot="1" x14ac:dyDescent="0.3">
      <c r="A22" s="5">
        <v>21</v>
      </c>
      <c r="B22" s="6">
        <v>40544</v>
      </c>
      <c r="C22" s="5">
        <v>1</v>
      </c>
      <c r="D22" s="5">
        <v>0</v>
      </c>
      <c r="E22" s="5">
        <v>1</v>
      </c>
      <c r="F22" s="5">
        <v>20</v>
      </c>
      <c r="G22" s="7" t="b">
        <v>0</v>
      </c>
      <c r="H22" s="5">
        <v>6</v>
      </c>
      <c r="I22" s="5">
        <v>2</v>
      </c>
      <c r="J22" s="5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  <c r="Q22" t="s">
        <v>21</v>
      </c>
      <c r="R22" t="s">
        <v>26</v>
      </c>
      <c r="S22" s="8" t="str">
        <f t="shared" si="0"/>
        <v>Normal</v>
      </c>
      <c r="T22" s="8" t="str">
        <f t="shared" si="1"/>
        <v>Low</v>
      </c>
      <c r="U22" s="8" t="str">
        <f t="shared" si="2"/>
        <v>Evening</v>
      </c>
      <c r="V22" s="12" t="s">
        <v>43</v>
      </c>
      <c r="W22" s="13">
        <f>COUNTIF(Q:Q,"Rush Hour")</f>
        <v>0</v>
      </c>
      <c r="Y22" s="14"/>
    </row>
    <row r="23" spans="1:25" ht="32.25" thickBot="1" x14ac:dyDescent="0.3">
      <c r="A23" s="5">
        <v>22</v>
      </c>
      <c r="B23" s="6">
        <v>40544</v>
      </c>
      <c r="C23" s="5">
        <v>1</v>
      </c>
      <c r="D23" s="5">
        <v>0</v>
      </c>
      <c r="E23" s="5">
        <v>1</v>
      </c>
      <c r="F23" s="5">
        <v>21</v>
      </c>
      <c r="G23" s="7" t="b">
        <v>0</v>
      </c>
      <c r="H23" s="5">
        <v>6</v>
      </c>
      <c r="I23" s="5">
        <v>2</v>
      </c>
      <c r="J23" s="5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  <c r="Q23" t="s">
        <v>21</v>
      </c>
      <c r="R23" t="s">
        <v>26</v>
      </c>
      <c r="S23" s="8" t="str">
        <f t="shared" si="0"/>
        <v>Normal</v>
      </c>
      <c r="T23" s="8" t="str">
        <f t="shared" si="1"/>
        <v>Low</v>
      </c>
      <c r="U23" s="8" t="str">
        <f t="shared" si="2"/>
        <v>Evening</v>
      </c>
      <c r="V23" s="12" t="s">
        <v>44</v>
      </c>
      <c r="W23" s="13">
        <f>CORREL(H:H,N:N)</f>
        <v>2.3140634018108973E-2</v>
      </c>
      <c r="Y23" s="14"/>
    </row>
    <row r="24" spans="1:25" ht="32.25" thickBot="1" x14ac:dyDescent="0.3">
      <c r="A24" s="5">
        <v>23</v>
      </c>
      <c r="B24" s="6">
        <v>40544</v>
      </c>
      <c r="C24" s="5">
        <v>1</v>
      </c>
      <c r="D24" s="5">
        <v>0</v>
      </c>
      <c r="E24" s="5">
        <v>1</v>
      </c>
      <c r="F24" s="5">
        <v>22</v>
      </c>
      <c r="G24" s="7" t="b">
        <v>0</v>
      </c>
      <c r="H24" s="5">
        <v>6</v>
      </c>
      <c r="I24" s="5">
        <v>2</v>
      </c>
      <c r="J24" s="5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  <c r="Q24" t="s">
        <v>21</v>
      </c>
      <c r="R24" t="s">
        <v>26</v>
      </c>
      <c r="S24" s="8" t="str">
        <f t="shared" si="0"/>
        <v>Normal</v>
      </c>
      <c r="T24" s="8" t="str">
        <f t="shared" si="1"/>
        <v>Low</v>
      </c>
      <c r="U24" s="8" t="str">
        <f t="shared" si="2"/>
        <v>Evening</v>
      </c>
      <c r="V24" s="12" t="s">
        <v>45</v>
      </c>
      <c r="W24" s="13">
        <f>CORREL(J:J,N:N)</f>
        <v>0.43848419655409232</v>
      </c>
      <c r="Y24" s="14"/>
    </row>
    <row r="25" spans="1:25" ht="32.25" thickBot="1" x14ac:dyDescent="0.3">
      <c r="A25" s="5">
        <v>24</v>
      </c>
      <c r="B25" s="6">
        <v>40544</v>
      </c>
      <c r="C25" s="5">
        <v>1</v>
      </c>
      <c r="D25" s="5">
        <v>0</v>
      </c>
      <c r="E25" s="5">
        <v>1</v>
      </c>
      <c r="F25" s="5">
        <v>23</v>
      </c>
      <c r="G25" s="7" t="b">
        <v>0</v>
      </c>
      <c r="H25" s="5">
        <v>6</v>
      </c>
      <c r="I25" s="5">
        <v>2</v>
      </c>
      <c r="J25" s="5">
        <v>0.46</v>
      </c>
      <c r="K25">
        <v>0.43940000000000001</v>
      </c>
      <c r="L25">
        <v>0.88</v>
      </c>
      <c r="M25">
        <v>0.29849999999999999</v>
      </c>
      <c r="N25">
        <v>15</v>
      </c>
      <c r="O25">
        <v>24</v>
      </c>
      <c r="P25">
        <v>39</v>
      </c>
      <c r="Q25" t="s">
        <v>21</v>
      </c>
      <c r="R25" t="s">
        <v>26</v>
      </c>
      <c r="S25" s="8" t="str">
        <f t="shared" si="0"/>
        <v>Normal</v>
      </c>
      <c r="T25" s="8" t="str">
        <f t="shared" si="1"/>
        <v>Low</v>
      </c>
      <c r="U25" s="8" t="str">
        <f t="shared" si="2"/>
        <v>Evening</v>
      </c>
      <c r="V25" s="12" t="s">
        <v>46</v>
      </c>
      <c r="W25" s="13">
        <f>CORREL(K:K,N:N)</f>
        <v>0.37861384998418357</v>
      </c>
      <c r="Y25" s="14"/>
    </row>
    <row r="26" spans="1:25" ht="15.75" thickBot="1" x14ac:dyDescent="0.3">
      <c r="A26" s="5">
        <v>25</v>
      </c>
      <c r="B26" s="6">
        <v>40545</v>
      </c>
      <c r="C26" s="5">
        <v>1</v>
      </c>
      <c r="D26" s="5">
        <v>0</v>
      </c>
      <c r="E26" s="5">
        <v>1</v>
      </c>
      <c r="F26" s="5">
        <v>0</v>
      </c>
      <c r="G26" s="7" t="b">
        <v>0</v>
      </c>
      <c r="H26" s="5">
        <v>0</v>
      </c>
      <c r="I26" s="5">
        <v>2</v>
      </c>
      <c r="J26" s="5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  <c r="Q26" t="s">
        <v>47</v>
      </c>
      <c r="R26" t="s">
        <v>26</v>
      </c>
      <c r="S26" s="8" t="str">
        <f t="shared" si="0"/>
        <v>Normal</v>
      </c>
      <c r="T26" s="8" t="str">
        <f t="shared" si="1"/>
        <v>Low</v>
      </c>
      <c r="U26" s="8" t="str">
        <f t="shared" si="2"/>
        <v>Night</v>
      </c>
      <c r="V26" s="8"/>
      <c r="W26" s="8"/>
      <c r="Y26" s="11"/>
    </row>
    <row r="27" spans="1:25" ht="15.75" thickBot="1" x14ac:dyDescent="0.3">
      <c r="A27" s="5">
        <v>26</v>
      </c>
      <c r="B27" s="6">
        <v>40545</v>
      </c>
      <c r="C27" s="5">
        <v>1</v>
      </c>
      <c r="D27" s="5">
        <v>0</v>
      </c>
      <c r="E27" s="5">
        <v>1</v>
      </c>
      <c r="F27" s="5">
        <v>1</v>
      </c>
      <c r="G27" s="7" t="b">
        <v>0</v>
      </c>
      <c r="H27" s="5">
        <v>0</v>
      </c>
      <c r="I27" s="5">
        <v>2</v>
      </c>
      <c r="J27" s="5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  <c r="Q27" t="s">
        <v>47</v>
      </c>
      <c r="R27" t="s">
        <v>26</v>
      </c>
      <c r="S27" s="8" t="str">
        <f t="shared" si="0"/>
        <v>Normal</v>
      </c>
      <c r="T27" s="8" t="str">
        <f t="shared" si="1"/>
        <v>Low</v>
      </c>
      <c r="U27" s="8" t="str">
        <f t="shared" si="2"/>
        <v>Night</v>
      </c>
      <c r="V27" s="8"/>
      <c r="W27" s="8"/>
      <c r="Y27" s="11"/>
    </row>
    <row r="28" spans="1:25" ht="15.75" thickBot="1" x14ac:dyDescent="0.3">
      <c r="A28" s="5">
        <v>27</v>
      </c>
      <c r="B28" s="6">
        <v>40545</v>
      </c>
      <c r="C28" s="5">
        <v>1</v>
      </c>
      <c r="D28" s="5">
        <v>0</v>
      </c>
      <c r="E28" s="5">
        <v>1</v>
      </c>
      <c r="F28" s="5">
        <v>2</v>
      </c>
      <c r="G28" s="7" t="b">
        <v>0</v>
      </c>
      <c r="H28" s="5">
        <v>0</v>
      </c>
      <c r="I28" s="5">
        <v>2</v>
      </c>
      <c r="J28" s="5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  <c r="Q28" t="s">
        <v>47</v>
      </c>
      <c r="R28" t="s">
        <v>26</v>
      </c>
      <c r="S28" s="8" t="str">
        <f t="shared" si="0"/>
        <v>Normal</v>
      </c>
      <c r="T28" s="8" t="str">
        <f t="shared" si="1"/>
        <v>Low</v>
      </c>
      <c r="U28" s="8" t="str">
        <f t="shared" si="2"/>
        <v>Night</v>
      </c>
      <c r="V28" s="8"/>
      <c r="W28" s="8"/>
    </row>
    <row r="29" spans="1:25" ht="15.75" thickBot="1" x14ac:dyDescent="0.3">
      <c r="A29" s="5">
        <v>28</v>
      </c>
      <c r="B29" s="6">
        <v>40545</v>
      </c>
      <c r="C29" s="5">
        <v>1</v>
      </c>
      <c r="D29" s="5">
        <v>0</v>
      </c>
      <c r="E29" s="5">
        <v>1</v>
      </c>
      <c r="F29" s="5">
        <v>3</v>
      </c>
      <c r="G29" s="7" t="b">
        <v>0</v>
      </c>
      <c r="H29" s="5">
        <v>0</v>
      </c>
      <c r="I29" s="5">
        <v>2</v>
      </c>
      <c r="J29" s="5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  <c r="Q29" t="s">
        <v>47</v>
      </c>
      <c r="R29" t="s">
        <v>26</v>
      </c>
      <c r="S29" s="8" t="str">
        <f t="shared" si="0"/>
        <v>Normal</v>
      </c>
      <c r="T29" s="8" t="str">
        <f t="shared" si="1"/>
        <v>Low</v>
      </c>
      <c r="U29" s="8" t="str">
        <f t="shared" si="2"/>
        <v>Night</v>
      </c>
      <c r="V29" s="8"/>
      <c r="W29" s="8"/>
    </row>
    <row r="30" spans="1:25" ht="15.75" thickBot="1" x14ac:dyDescent="0.3">
      <c r="A30" s="5">
        <v>29</v>
      </c>
      <c r="B30" s="6">
        <v>40545</v>
      </c>
      <c r="C30" s="5">
        <v>1</v>
      </c>
      <c r="D30" s="5">
        <v>0</v>
      </c>
      <c r="E30" s="5">
        <v>1</v>
      </c>
      <c r="F30" s="5">
        <v>4</v>
      </c>
      <c r="G30" s="7" t="b">
        <v>0</v>
      </c>
      <c r="H30" s="5">
        <v>0</v>
      </c>
      <c r="I30" s="5">
        <v>2</v>
      </c>
      <c r="J30" s="5">
        <v>0.46</v>
      </c>
      <c r="K30">
        <v>0.40910000000000002</v>
      </c>
      <c r="L30">
        <v>0.94</v>
      </c>
      <c r="M30">
        <v>0.19400000000000001</v>
      </c>
      <c r="N30">
        <v>2</v>
      </c>
      <c r="O30">
        <v>1</v>
      </c>
      <c r="P30">
        <v>3</v>
      </c>
      <c r="Q30" t="s">
        <v>47</v>
      </c>
      <c r="R30" t="s">
        <v>26</v>
      </c>
      <c r="S30" s="8" t="str">
        <f t="shared" si="0"/>
        <v>Normal</v>
      </c>
      <c r="T30" s="8" t="str">
        <f t="shared" si="1"/>
        <v>Low</v>
      </c>
      <c r="U30" s="8" t="str">
        <f t="shared" si="2"/>
        <v>Night</v>
      </c>
      <c r="V30" s="8"/>
      <c r="W30" s="8"/>
    </row>
    <row r="31" spans="1:25" ht="15.75" thickBot="1" x14ac:dyDescent="0.3">
      <c r="A31" s="5">
        <v>30</v>
      </c>
      <c r="B31" s="6">
        <v>40545</v>
      </c>
      <c r="C31" s="5">
        <v>1</v>
      </c>
      <c r="D31" s="5">
        <v>0</v>
      </c>
      <c r="E31" s="5">
        <v>1</v>
      </c>
      <c r="F31" s="5">
        <v>6</v>
      </c>
      <c r="G31" s="7" t="b">
        <v>0</v>
      </c>
      <c r="H31" s="5">
        <v>0</v>
      </c>
      <c r="I31" s="5">
        <v>3</v>
      </c>
      <c r="J31" s="5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  <c r="Q31" t="s">
        <v>47</v>
      </c>
      <c r="R31" t="s">
        <v>40</v>
      </c>
      <c r="S31" s="8" t="str">
        <f t="shared" si="0"/>
        <v>Normal</v>
      </c>
      <c r="T31" s="8" t="str">
        <f t="shared" si="1"/>
        <v>Low</v>
      </c>
      <c r="U31" s="8" t="str">
        <f t="shared" si="2"/>
        <v>Morning</v>
      </c>
      <c r="V31" s="8"/>
      <c r="W31" s="8"/>
    </row>
    <row r="32" spans="1:25" ht="15.75" thickBot="1" x14ac:dyDescent="0.3">
      <c r="A32" s="5">
        <v>31</v>
      </c>
      <c r="B32" s="6">
        <v>40545</v>
      </c>
      <c r="C32" s="5">
        <v>1</v>
      </c>
      <c r="D32" s="5">
        <v>0</v>
      </c>
      <c r="E32" s="5">
        <v>1</v>
      </c>
      <c r="F32" s="5">
        <v>7</v>
      </c>
      <c r="G32" s="7" t="b">
        <v>0</v>
      </c>
      <c r="H32" s="5">
        <v>0</v>
      </c>
      <c r="I32" s="5">
        <v>2</v>
      </c>
      <c r="J32" s="5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  <c r="Q32" t="s">
        <v>47</v>
      </c>
      <c r="R32" t="s">
        <v>26</v>
      </c>
      <c r="S32" s="8" t="str">
        <f t="shared" si="0"/>
        <v>Rush Hour</v>
      </c>
      <c r="T32" s="8" t="str">
        <f t="shared" si="1"/>
        <v>Low</v>
      </c>
      <c r="U32" s="8" t="str">
        <f t="shared" si="2"/>
        <v>Morning</v>
      </c>
      <c r="V32" s="8"/>
      <c r="W32" s="8"/>
    </row>
    <row r="33" spans="1:23" ht="15.75" thickBot="1" x14ac:dyDescent="0.3">
      <c r="A33" s="5">
        <v>32</v>
      </c>
      <c r="B33" s="6">
        <v>40545</v>
      </c>
      <c r="C33" s="5">
        <v>1</v>
      </c>
      <c r="D33" s="5">
        <v>0</v>
      </c>
      <c r="E33" s="5">
        <v>1</v>
      </c>
      <c r="F33" s="5">
        <v>8</v>
      </c>
      <c r="G33" s="7" t="b">
        <v>0</v>
      </c>
      <c r="H33" s="5">
        <v>0</v>
      </c>
      <c r="I33" s="5">
        <v>3</v>
      </c>
      <c r="J33" s="5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  <c r="Q33" t="s">
        <v>47</v>
      </c>
      <c r="R33" t="s">
        <v>40</v>
      </c>
      <c r="S33" s="8" t="str">
        <f t="shared" si="0"/>
        <v>Rush Hour</v>
      </c>
      <c r="T33" s="8" t="str">
        <f t="shared" si="1"/>
        <v>Low</v>
      </c>
      <c r="U33" s="8" t="str">
        <f t="shared" si="2"/>
        <v>Morning</v>
      </c>
      <c r="V33" s="8"/>
      <c r="W33" s="8"/>
    </row>
    <row r="34" spans="1:23" ht="15.75" thickBot="1" x14ac:dyDescent="0.3">
      <c r="A34" s="5">
        <v>33</v>
      </c>
      <c r="B34" s="6">
        <v>40545</v>
      </c>
      <c r="C34" s="5">
        <v>1</v>
      </c>
      <c r="D34" s="5">
        <v>0</v>
      </c>
      <c r="E34" s="5">
        <v>1</v>
      </c>
      <c r="F34" s="5">
        <v>9</v>
      </c>
      <c r="G34" s="7" t="b">
        <v>0</v>
      </c>
      <c r="H34" s="5">
        <v>0</v>
      </c>
      <c r="I34" s="5">
        <v>2</v>
      </c>
      <c r="J34" s="5">
        <v>0.38</v>
      </c>
      <c r="K34">
        <v>0.45450000000000002</v>
      </c>
      <c r="L34">
        <v>0.76</v>
      </c>
      <c r="M34">
        <v>0.22389999999999999</v>
      </c>
      <c r="N34">
        <v>1</v>
      </c>
      <c r="O34">
        <v>19</v>
      </c>
      <c r="P34">
        <v>20</v>
      </c>
      <c r="Q34" t="s">
        <v>47</v>
      </c>
      <c r="R34" t="s">
        <v>26</v>
      </c>
      <c r="S34" s="8" t="str">
        <f t="shared" si="0"/>
        <v>Rush Hour</v>
      </c>
      <c r="T34" s="8" t="str">
        <f t="shared" si="1"/>
        <v>Low</v>
      </c>
      <c r="U34" s="8" t="str">
        <f t="shared" si="2"/>
        <v>Morning</v>
      </c>
      <c r="V34" s="8"/>
      <c r="W34" s="8"/>
    </row>
    <row r="35" spans="1:23" ht="15.75" thickBot="1" x14ac:dyDescent="0.3">
      <c r="A35" s="5">
        <v>34</v>
      </c>
      <c r="B35" s="6">
        <v>40545</v>
      </c>
      <c r="C35" s="5">
        <v>1</v>
      </c>
      <c r="D35" s="5">
        <v>0</v>
      </c>
      <c r="E35" s="5">
        <v>1</v>
      </c>
      <c r="F35" s="5">
        <v>10</v>
      </c>
      <c r="G35" s="7" t="b">
        <v>0</v>
      </c>
      <c r="H35" s="5">
        <v>0</v>
      </c>
      <c r="I35" s="5">
        <v>2</v>
      </c>
      <c r="J35" s="5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  <c r="Q35" t="s">
        <v>47</v>
      </c>
      <c r="R35" t="s">
        <v>26</v>
      </c>
      <c r="S35" s="8" t="str">
        <f t="shared" si="0"/>
        <v>Normal</v>
      </c>
      <c r="T35" s="8" t="str">
        <f t="shared" si="1"/>
        <v>Medium</v>
      </c>
      <c r="U35" s="8" t="str">
        <f t="shared" si="2"/>
        <v>Morning</v>
      </c>
      <c r="V35" s="8"/>
      <c r="W35" s="8"/>
    </row>
    <row r="36" spans="1:23" ht="15.75" thickBot="1" x14ac:dyDescent="0.3">
      <c r="A36" s="5">
        <v>35</v>
      </c>
      <c r="B36" s="6">
        <v>40545</v>
      </c>
      <c r="C36" s="5">
        <v>1</v>
      </c>
      <c r="D36" s="5">
        <v>0</v>
      </c>
      <c r="E36" s="5">
        <v>1</v>
      </c>
      <c r="F36" s="5">
        <v>11</v>
      </c>
      <c r="G36" s="7" t="b">
        <v>0</v>
      </c>
      <c r="H36" s="5">
        <v>0</v>
      </c>
      <c r="I36" s="5">
        <v>2</v>
      </c>
      <c r="J36" s="5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  <c r="Q36" t="s">
        <v>47</v>
      </c>
      <c r="R36" t="s">
        <v>26</v>
      </c>
      <c r="S36" s="8" t="str">
        <f t="shared" si="0"/>
        <v>Normal</v>
      </c>
      <c r="T36" s="8" t="str">
        <f t="shared" si="1"/>
        <v>Medium</v>
      </c>
      <c r="U36" s="8" t="str">
        <f t="shared" si="2"/>
        <v>Morning</v>
      </c>
      <c r="V36" s="8"/>
      <c r="W36" s="8"/>
    </row>
    <row r="37" spans="1:23" ht="15.75" thickBot="1" x14ac:dyDescent="0.3">
      <c r="A37" s="5">
        <v>36</v>
      </c>
      <c r="B37" s="6">
        <v>40545</v>
      </c>
      <c r="C37" s="5">
        <v>1</v>
      </c>
      <c r="D37" s="5">
        <v>0</v>
      </c>
      <c r="E37" s="5">
        <v>1</v>
      </c>
      <c r="F37" s="5">
        <v>12</v>
      </c>
      <c r="G37" s="7" t="b">
        <v>0</v>
      </c>
      <c r="H37" s="5">
        <v>0</v>
      </c>
      <c r="I37" s="5">
        <v>2</v>
      </c>
      <c r="J37" s="5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  <c r="Q37" t="s">
        <v>47</v>
      </c>
      <c r="R37" t="s">
        <v>26</v>
      </c>
      <c r="S37" s="8" t="str">
        <f t="shared" si="0"/>
        <v>Normal</v>
      </c>
      <c r="T37" s="8" t="str">
        <f t="shared" si="1"/>
        <v>Medium</v>
      </c>
      <c r="U37" s="8" t="str">
        <f t="shared" si="2"/>
        <v>Afternoon</v>
      </c>
      <c r="V37" s="8"/>
      <c r="W37" s="8"/>
    </row>
    <row r="38" spans="1:23" ht="15.75" thickBot="1" x14ac:dyDescent="0.3">
      <c r="A38" s="5">
        <v>37</v>
      </c>
      <c r="B38" s="6">
        <v>40545</v>
      </c>
      <c r="C38" s="5">
        <v>1</v>
      </c>
      <c r="D38" s="5">
        <v>0</v>
      </c>
      <c r="E38" s="5">
        <v>1</v>
      </c>
      <c r="F38" s="5">
        <v>13</v>
      </c>
      <c r="G38" s="7" t="b">
        <v>0</v>
      </c>
      <c r="H38" s="5">
        <v>0</v>
      </c>
      <c r="I38" s="5">
        <v>2</v>
      </c>
      <c r="J38" s="5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  <c r="Q38" t="s">
        <v>47</v>
      </c>
      <c r="R38" t="s">
        <v>26</v>
      </c>
      <c r="S38" s="8" t="str">
        <f t="shared" si="0"/>
        <v>Normal</v>
      </c>
      <c r="T38" s="8" t="str">
        <f t="shared" si="1"/>
        <v>Medium</v>
      </c>
      <c r="U38" s="8" t="str">
        <f t="shared" si="2"/>
        <v>Afternoon</v>
      </c>
      <c r="V38" s="8"/>
      <c r="W38" s="8"/>
    </row>
    <row r="39" spans="1:23" ht="15.75" thickBot="1" x14ac:dyDescent="0.3">
      <c r="A39" s="5">
        <v>38</v>
      </c>
      <c r="B39" s="6">
        <v>40545</v>
      </c>
      <c r="C39" s="5">
        <v>1</v>
      </c>
      <c r="D39" s="5">
        <v>0</v>
      </c>
      <c r="E39" s="5">
        <v>1</v>
      </c>
      <c r="F39" s="5">
        <v>14</v>
      </c>
      <c r="G39" s="7" t="b">
        <v>0</v>
      </c>
      <c r="H39" s="5">
        <v>0</v>
      </c>
      <c r="I39" s="5">
        <v>3</v>
      </c>
      <c r="J39" s="5">
        <v>0.36</v>
      </c>
      <c r="K39">
        <v>0.42420000000000002</v>
      </c>
      <c r="L39">
        <v>0.76</v>
      </c>
      <c r="M39">
        <v>0.19400000000000001</v>
      </c>
      <c r="N39">
        <v>4</v>
      </c>
      <c r="O39">
        <v>55</v>
      </c>
      <c r="P39">
        <v>59</v>
      </c>
      <c r="Q39" t="s">
        <v>47</v>
      </c>
      <c r="R39" t="s">
        <v>40</v>
      </c>
      <c r="S39" s="8" t="str">
        <f t="shared" si="0"/>
        <v>Normal</v>
      </c>
      <c r="T39" s="8" t="str">
        <f t="shared" si="1"/>
        <v>Medium</v>
      </c>
      <c r="U39" s="8" t="str">
        <f t="shared" si="2"/>
        <v>Afternoon</v>
      </c>
      <c r="V39" s="8"/>
      <c r="W39" s="8"/>
    </row>
    <row r="40" spans="1:23" ht="15.75" thickBot="1" x14ac:dyDescent="0.3">
      <c r="A40" s="5">
        <v>39</v>
      </c>
      <c r="B40" s="6">
        <v>40545</v>
      </c>
      <c r="C40" s="5">
        <v>1</v>
      </c>
      <c r="D40" s="5">
        <v>0</v>
      </c>
      <c r="E40" s="5">
        <v>1</v>
      </c>
      <c r="F40" s="5">
        <v>15</v>
      </c>
      <c r="G40" s="7" t="b">
        <v>0</v>
      </c>
      <c r="H40" s="5">
        <v>0</v>
      </c>
      <c r="I40" s="5">
        <v>3</v>
      </c>
      <c r="J40" s="5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  <c r="Q40" t="s">
        <v>47</v>
      </c>
      <c r="R40" t="s">
        <v>40</v>
      </c>
      <c r="S40" s="8" t="str">
        <f t="shared" si="0"/>
        <v>Normal</v>
      </c>
      <c r="T40" s="8" t="str">
        <f t="shared" si="1"/>
        <v>Medium</v>
      </c>
      <c r="U40" s="8" t="str">
        <f t="shared" si="2"/>
        <v>Afternoon</v>
      </c>
      <c r="V40" s="8"/>
      <c r="W40" s="8"/>
    </row>
    <row r="41" spans="1:23" ht="15.75" thickBot="1" x14ac:dyDescent="0.3">
      <c r="A41" s="5">
        <v>40</v>
      </c>
      <c r="B41" s="6">
        <v>40545</v>
      </c>
      <c r="C41" s="5">
        <v>1</v>
      </c>
      <c r="D41" s="5">
        <v>0</v>
      </c>
      <c r="E41" s="5">
        <v>1</v>
      </c>
      <c r="F41" s="5">
        <v>16</v>
      </c>
      <c r="G41" s="7" t="b">
        <v>0</v>
      </c>
      <c r="H41" s="5">
        <v>0</v>
      </c>
      <c r="I41" s="5">
        <v>3</v>
      </c>
      <c r="J41" s="5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  <c r="Q41" t="s">
        <v>47</v>
      </c>
      <c r="R41" t="s">
        <v>40</v>
      </c>
      <c r="S41" s="8" t="str">
        <f t="shared" si="0"/>
        <v>Normal</v>
      </c>
      <c r="T41" s="8" t="str">
        <f t="shared" si="1"/>
        <v>Medium</v>
      </c>
      <c r="U41" s="8" t="str">
        <f t="shared" si="2"/>
        <v>Afternoon</v>
      </c>
      <c r="V41" s="8"/>
      <c r="W41" s="8"/>
    </row>
    <row r="42" spans="1:23" ht="15.75" thickBot="1" x14ac:dyDescent="0.3">
      <c r="A42" s="5">
        <v>41</v>
      </c>
      <c r="B42" s="6">
        <v>40545</v>
      </c>
      <c r="C42" s="5">
        <v>1</v>
      </c>
      <c r="D42" s="5">
        <v>0</v>
      </c>
      <c r="E42" s="5">
        <v>1</v>
      </c>
      <c r="F42" s="5">
        <v>17</v>
      </c>
      <c r="G42" s="7" t="b">
        <v>0</v>
      </c>
      <c r="H42" s="5">
        <v>0</v>
      </c>
      <c r="I42" s="5">
        <v>1</v>
      </c>
      <c r="J42" s="5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  <c r="Q42" t="s">
        <v>47</v>
      </c>
      <c r="R42" t="s">
        <v>22</v>
      </c>
      <c r="S42" s="8" t="str">
        <f t="shared" si="0"/>
        <v>Rush Hour</v>
      </c>
      <c r="T42" s="8" t="str">
        <f t="shared" si="1"/>
        <v>Medium</v>
      </c>
      <c r="U42" s="8" t="str">
        <f t="shared" si="2"/>
        <v>Afternoon</v>
      </c>
      <c r="V42" s="8"/>
      <c r="W42" s="8"/>
    </row>
    <row r="43" spans="1:23" ht="15.75" thickBot="1" x14ac:dyDescent="0.3">
      <c r="A43" s="5">
        <v>42</v>
      </c>
      <c r="B43" s="6">
        <v>40545</v>
      </c>
      <c r="C43" s="5">
        <v>1</v>
      </c>
      <c r="D43" s="5">
        <v>0</v>
      </c>
      <c r="E43" s="5">
        <v>1</v>
      </c>
      <c r="F43" s="5">
        <v>18</v>
      </c>
      <c r="G43" s="7" t="b">
        <v>0</v>
      </c>
      <c r="H43" s="5">
        <v>0</v>
      </c>
      <c r="I43" s="5">
        <v>2</v>
      </c>
      <c r="J43" s="5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  <c r="Q43" t="s">
        <v>47</v>
      </c>
      <c r="R43" t="s">
        <v>26</v>
      </c>
      <c r="S43" s="8" t="str">
        <f t="shared" si="0"/>
        <v>Rush Hour</v>
      </c>
      <c r="T43" s="8" t="str">
        <f t="shared" si="1"/>
        <v>Medium</v>
      </c>
      <c r="U43" s="8" t="str">
        <f t="shared" si="2"/>
        <v>Evening</v>
      </c>
      <c r="V43" s="8"/>
      <c r="W43" s="8"/>
    </row>
    <row r="44" spans="1:23" ht="15.75" thickBot="1" x14ac:dyDescent="0.3">
      <c r="A44" s="5">
        <v>43</v>
      </c>
      <c r="B44" s="6">
        <v>40545</v>
      </c>
      <c r="C44" s="5">
        <v>1</v>
      </c>
      <c r="D44" s="5">
        <v>0</v>
      </c>
      <c r="E44" s="5">
        <v>1</v>
      </c>
      <c r="F44" s="5">
        <v>19</v>
      </c>
      <c r="G44" s="7" t="b">
        <v>0</v>
      </c>
      <c r="H44" s="5">
        <v>0</v>
      </c>
      <c r="I44" s="5">
        <v>1</v>
      </c>
      <c r="J44" s="5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  <c r="Q44" t="s">
        <v>47</v>
      </c>
      <c r="R44" t="s">
        <v>22</v>
      </c>
      <c r="S44" s="8" t="str">
        <f t="shared" si="0"/>
        <v>Rush Hour</v>
      </c>
      <c r="T44" s="8" t="str">
        <f t="shared" si="1"/>
        <v>Low</v>
      </c>
      <c r="U44" s="8" t="str">
        <f t="shared" si="2"/>
        <v>Evening</v>
      </c>
      <c r="V44" s="8"/>
      <c r="W44" s="8"/>
    </row>
    <row r="45" spans="1:23" ht="15.75" thickBot="1" x14ac:dyDescent="0.3">
      <c r="A45" s="5">
        <v>44</v>
      </c>
      <c r="B45" s="6">
        <v>40545</v>
      </c>
      <c r="C45" s="5">
        <v>1</v>
      </c>
      <c r="D45" s="5">
        <v>0</v>
      </c>
      <c r="E45" s="5">
        <v>1</v>
      </c>
      <c r="F45" s="5">
        <v>20</v>
      </c>
      <c r="G45" s="7" t="b">
        <v>0</v>
      </c>
      <c r="H45" s="5">
        <v>0</v>
      </c>
      <c r="I45" s="5">
        <v>1</v>
      </c>
      <c r="J45" s="5">
        <v>0.3</v>
      </c>
      <c r="K45">
        <v>0.33329999999999999</v>
      </c>
      <c r="L45">
        <v>0.39</v>
      </c>
      <c r="M45">
        <v>0.35820000000000002</v>
      </c>
      <c r="N45">
        <v>5</v>
      </c>
      <c r="O45">
        <v>17</v>
      </c>
      <c r="P45">
        <v>22</v>
      </c>
      <c r="Q45" t="s">
        <v>47</v>
      </c>
      <c r="R45" t="s">
        <v>22</v>
      </c>
      <c r="S45" s="8" t="str">
        <f t="shared" si="0"/>
        <v>Normal</v>
      </c>
      <c r="T45" s="8" t="str">
        <f t="shared" si="1"/>
        <v>Low</v>
      </c>
      <c r="U45" s="8" t="str">
        <f t="shared" si="2"/>
        <v>Evening</v>
      </c>
      <c r="V45" s="8"/>
      <c r="W45" s="8"/>
    </row>
    <row r="46" spans="1:23" ht="15.75" thickBot="1" x14ac:dyDescent="0.3">
      <c r="A46" s="5">
        <v>45</v>
      </c>
      <c r="B46" s="6">
        <v>40545</v>
      </c>
      <c r="C46" s="5">
        <v>1</v>
      </c>
      <c r="D46" s="5">
        <v>0</v>
      </c>
      <c r="E46" s="5">
        <v>1</v>
      </c>
      <c r="F46" s="5">
        <v>21</v>
      </c>
      <c r="G46" s="7" t="b">
        <v>0</v>
      </c>
      <c r="H46" s="5">
        <v>0</v>
      </c>
      <c r="I46" s="5">
        <v>1</v>
      </c>
      <c r="J46" s="5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  <c r="Q46" t="s">
        <v>47</v>
      </c>
      <c r="R46" t="s">
        <v>22</v>
      </c>
      <c r="S46" s="8" t="str">
        <f t="shared" si="0"/>
        <v>Normal</v>
      </c>
      <c r="T46" s="8" t="str">
        <f t="shared" si="1"/>
        <v>Low</v>
      </c>
      <c r="U46" s="8" t="str">
        <f t="shared" si="2"/>
        <v>Evening</v>
      </c>
      <c r="V46" s="8"/>
      <c r="W46" s="8"/>
    </row>
    <row r="47" spans="1:23" ht="15.75" thickBot="1" x14ac:dyDescent="0.3">
      <c r="A47" s="5">
        <v>46</v>
      </c>
      <c r="B47" s="6">
        <v>40545</v>
      </c>
      <c r="C47" s="5">
        <v>1</v>
      </c>
      <c r="D47" s="5">
        <v>0</v>
      </c>
      <c r="E47" s="5">
        <v>1</v>
      </c>
      <c r="F47" s="5">
        <v>22</v>
      </c>
      <c r="G47" s="7" t="b">
        <v>0</v>
      </c>
      <c r="H47" s="5">
        <v>0</v>
      </c>
      <c r="I47" s="5">
        <v>1</v>
      </c>
      <c r="J47" s="5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  <c r="Q47" t="s">
        <v>47</v>
      </c>
      <c r="R47" t="s">
        <v>22</v>
      </c>
      <c r="S47" s="8" t="str">
        <f t="shared" si="0"/>
        <v>Normal</v>
      </c>
      <c r="T47" s="8" t="str">
        <f t="shared" si="1"/>
        <v>Low</v>
      </c>
      <c r="U47" s="8" t="str">
        <f t="shared" si="2"/>
        <v>Evening</v>
      </c>
      <c r="V47" s="8"/>
      <c r="W47" s="8"/>
    </row>
    <row r="48" spans="1:23" ht="15.75" thickBot="1" x14ac:dyDescent="0.3">
      <c r="A48" s="5">
        <v>47</v>
      </c>
      <c r="B48" s="6">
        <v>40545</v>
      </c>
      <c r="C48" s="5">
        <v>1</v>
      </c>
      <c r="D48" s="5">
        <v>0</v>
      </c>
      <c r="E48" s="5">
        <v>1</v>
      </c>
      <c r="F48" s="5">
        <v>23</v>
      </c>
      <c r="G48" s="7" t="b">
        <v>0</v>
      </c>
      <c r="H48" s="5">
        <v>0</v>
      </c>
      <c r="I48" s="5">
        <v>1</v>
      </c>
      <c r="J48" s="5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  <c r="Q48" t="s">
        <v>47</v>
      </c>
      <c r="R48" t="s">
        <v>22</v>
      </c>
      <c r="S48" s="8" t="str">
        <f t="shared" si="0"/>
        <v>Normal</v>
      </c>
      <c r="T48" s="8" t="str">
        <f t="shared" si="1"/>
        <v>Low</v>
      </c>
      <c r="U48" s="8" t="str">
        <f t="shared" si="2"/>
        <v>Evening</v>
      </c>
      <c r="V48" s="8"/>
      <c r="W48" s="8"/>
    </row>
    <row r="49" spans="1:23" ht="15.75" thickBot="1" x14ac:dyDescent="0.3">
      <c r="A49" s="5">
        <v>48</v>
      </c>
      <c r="B49" s="6">
        <v>40546</v>
      </c>
      <c r="C49" s="5">
        <v>1</v>
      </c>
      <c r="D49" s="5">
        <v>0</v>
      </c>
      <c r="E49" s="5">
        <v>1</v>
      </c>
      <c r="F49" s="5">
        <v>0</v>
      </c>
      <c r="G49" s="7" t="b">
        <v>0</v>
      </c>
      <c r="H49" s="5">
        <v>1</v>
      </c>
      <c r="I49" s="5">
        <v>1</v>
      </c>
      <c r="J49" s="5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  <c r="Q49" t="s">
        <v>48</v>
      </c>
      <c r="R49" t="s">
        <v>22</v>
      </c>
      <c r="S49" s="8" t="str">
        <f t="shared" si="0"/>
        <v>Normal</v>
      </c>
      <c r="T49" s="8" t="str">
        <f t="shared" si="1"/>
        <v>Low</v>
      </c>
      <c r="U49" s="8" t="str">
        <f t="shared" si="2"/>
        <v>Night</v>
      </c>
      <c r="V49" s="8"/>
      <c r="W49" s="8"/>
    </row>
    <row r="50" spans="1:23" ht="15.75" thickBot="1" x14ac:dyDescent="0.3">
      <c r="A50" s="5">
        <v>49</v>
      </c>
      <c r="B50" s="6">
        <v>40546</v>
      </c>
      <c r="C50" s="5">
        <v>1</v>
      </c>
      <c r="D50" s="5">
        <v>0</v>
      </c>
      <c r="E50" s="5">
        <v>1</v>
      </c>
      <c r="F50" s="5">
        <v>1</v>
      </c>
      <c r="G50" s="7" t="b">
        <v>0</v>
      </c>
      <c r="H50" s="5">
        <v>1</v>
      </c>
      <c r="I50" s="5">
        <v>1</v>
      </c>
      <c r="J50" s="5">
        <v>0.2</v>
      </c>
      <c r="K50">
        <v>0.33329999999999999</v>
      </c>
      <c r="L50">
        <v>0.44</v>
      </c>
      <c r="M50">
        <v>0.41789999999999999</v>
      </c>
      <c r="N50">
        <v>0</v>
      </c>
      <c r="O50">
        <v>2</v>
      </c>
      <c r="P50">
        <v>2</v>
      </c>
      <c r="Q50" t="s">
        <v>48</v>
      </c>
      <c r="R50" t="s">
        <v>22</v>
      </c>
      <c r="S50" s="8" t="str">
        <f t="shared" si="0"/>
        <v>Normal</v>
      </c>
      <c r="T50" s="8" t="str">
        <f t="shared" si="1"/>
        <v>Low</v>
      </c>
      <c r="U50" s="8" t="str">
        <f t="shared" si="2"/>
        <v>Night</v>
      </c>
      <c r="V50" s="8"/>
      <c r="W50" s="8"/>
    </row>
    <row r="51" spans="1:23" ht="15.75" thickBot="1" x14ac:dyDescent="0.3">
      <c r="A51" s="5">
        <v>50</v>
      </c>
      <c r="B51" s="6">
        <v>40546</v>
      </c>
      <c r="C51" s="5">
        <v>1</v>
      </c>
      <c r="D51" s="5">
        <v>0</v>
      </c>
      <c r="E51" s="5">
        <v>1</v>
      </c>
      <c r="F51" s="5">
        <v>4</v>
      </c>
      <c r="G51" s="7" t="b">
        <v>0</v>
      </c>
      <c r="H51" s="5">
        <v>1</v>
      </c>
      <c r="I51" s="5">
        <v>1</v>
      </c>
      <c r="J51" s="5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  <c r="Q51" t="s">
        <v>48</v>
      </c>
      <c r="R51" t="s">
        <v>22</v>
      </c>
      <c r="S51" s="8" t="str">
        <f t="shared" si="0"/>
        <v>Normal</v>
      </c>
      <c r="T51" s="8" t="str">
        <f t="shared" si="1"/>
        <v>Low</v>
      </c>
      <c r="U51" s="8" t="str">
        <f t="shared" si="2"/>
        <v>Night</v>
      </c>
      <c r="V51" s="8"/>
      <c r="W51" s="8"/>
    </row>
    <row r="52" spans="1:23" ht="15.75" thickBot="1" x14ac:dyDescent="0.3">
      <c r="A52" s="5">
        <v>51</v>
      </c>
      <c r="B52" s="6">
        <v>40546</v>
      </c>
      <c r="C52" s="5">
        <v>1</v>
      </c>
      <c r="D52" s="5">
        <v>0</v>
      </c>
      <c r="E52" s="5">
        <v>1</v>
      </c>
      <c r="F52" s="5">
        <v>5</v>
      </c>
      <c r="G52" s="7" t="b">
        <v>0</v>
      </c>
      <c r="H52" s="5">
        <v>1</v>
      </c>
      <c r="I52" s="5">
        <v>1</v>
      </c>
      <c r="J52" s="5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  <c r="Q52" t="s">
        <v>48</v>
      </c>
      <c r="R52" t="s">
        <v>22</v>
      </c>
      <c r="S52" s="8" t="str">
        <f t="shared" si="0"/>
        <v>Normal</v>
      </c>
      <c r="T52" s="8" t="str">
        <f t="shared" si="1"/>
        <v>Low</v>
      </c>
      <c r="U52" s="8" t="str">
        <f t="shared" si="2"/>
        <v>Night</v>
      </c>
      <c r="V52" s="8"/>
      <c r="W52" s="8"/>
    </row>
    <row r="53" spans="1:23" ht="15.75" thickBot="1" x14ac:dyDescent="0.3">
      <c r="A53" s="5">
        <v>52</v>
      </c>
      <c r="B53" s="6">
        <v>40546</v>
      </c>
      <c r="C53" s="5">
        <v>1</v>
      </c>
      <c r="D53" s="5">
        <v>0</v>
      </c>
      <c r="E53" s="5">
        <v>1</v>
      </c>
      <c r="F53" s="5">
        <v>6</v>
      </c>
      <c r="G53" s="7" t="b">
        <v>0</v>
      </c>
      <c r="H53" s="5">
        <v>1</v>
      </c>
      <c r="I53" s="5">
        <v>1</v>
      </c>
      <c r="J53" s="5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  <c r="Q53" t="s">
        <v>48</v>
      </c>
      <c r="R53" t="s">
        <v>22</v>
      </c>
      <c r="S53" s="8" t="str">
        <f t="shared" si="0"/>
        <v>Normal</v>
      </c>
      <c r="T53" s="8" t="str">
        <f t="shared" si="1"/>
        <v>Low</v>
      </c>
      <c r="U53" s="8" t="str">
        <f t="shared" si="2"/>
        <v>Morning</v>
      </c>
      <c r="V53" s="8"/>
      <c r="W53" s="8"/>
    </row>
    <row r="54" spans="1:23" ht="15.75" thickBot="1" x14ac:dyDescent="0.3">
      <c r="A54" s="5">
        <v>53</v>
      </c>
      <c r="B54" s="6">
        <v>40546</v>
      </c>
      <c r="C54" s="5">
        <v>1</v>
      </c>
      <c r="D54" s="5">
        <v>0</v>
      </c>
      <c r="E54" s="5">
        <v>1</v>
      </c>
      <c r="F54" s="5">
        <v>7</v>
      </c>
      <c r="G54" s="7" t="b">
        <v>0</v>
      </c>
      <c r="H54" s="5">
        <v>1</v>
      </c>
      <c r="I54" s="5">
        <v>1</v>
      </c>
      <c r="J54" s="5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  <c r="Q54" t="s">
        <v>48</v>
      </c>
      <c r="R54" t="s">
        <v>22</v>
      </c>
      <c r="S54" s="8" t="str">
        <f t="shared" si="0"/>
        <v>Rush Hour</v>
      </c>
      <c r="T54" s="8" t="str">
        <f t="shared" si="1"/>
        <v>Medium</v>
      </c>
      <c r="U54" s="8" t="str">
        <f t="shared" si="2"/>
        <v>Morning</v>
      </c>
      <c r="V54" s="8"/>
      <c r="W54" s="8"/>
    </row>
    <row r="55" spans="1:23" ht="15.75" thickBot="1" x14ac:dyDescent="0.3">
      <c r="A55" s="5">
        <v>54</v>
      </c>
      <c r="B55" s="6">
        <v>40546</v>
      </c>
      <c r="C55" s="5">
        <v>1</v>
      </c>
      <c r="D55" s="5">
        <v>0</v>
      </c>
      <c r="E55" s="5">
        <v>1</v>
      </c>
      <c r="F55" s="5">
        <v>8</v>
      </c>
      <c r="G55" s="7" t="b">
        <v>0</v>
      </c>
      <c r="H55" s="5">
        <v>1</v>
      </c>
      <c r="I55" s="5">
        <v>1</v>
      </c>
      <c r="J55" s="5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  <c r="Q55" t="s">
        <v>48</v>
      </c>
      <c r="R55" t="s">
        <v>22</v>
      </c>
      <c r="S55" s="8" t="str">
        <f t="shared" si="0"/>
        <v>Rush Hour</v>
      </c>
      <c r="T55" s="8" t="str">
        <f t="shared" si="1"/>
        <v>High</v>
      </c>
      <c r="U55" s="8" t="str">
        <f t="shared" si="2"/>
        <v>Morning</v>
      </c>
      <c r="V55" s="8"/>
      <c r="W55" s="8"/>
    </row>
    <row r="56" spans="1:23" ht="15.75" thickBot="1" x14ac:dyDescent="0.3">
      <c r="A56" s="5">
        <v>55</v>
      </c>
      <c r="B56" s="6">
        <v>40546</v>
      </c>
      <c r="C56" s="5">
        <v>1</v>
      </c>
      <c r="D56" s="5">
        <v>0</v>
      </c>
      <c r="E56" s="5">
        <v>1</v>
      </c>
      <c r="F56" s="5">
        <v>9</v>
      </c>
      <c r="G56" s="7" t="b">
        <v>0</v>
      </c>
      <c r="H56" s="5">
        <v>1</v>
      </c>
      <c r="I56" s="5">
        <v>1</v>
      </c>
      <c r="J56" s="5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  <c r="Q56" t="s">
        <v>48</v>
      </c>
      <c r="R56" t="s">
        <v>22</v>
      </c>
      <c r="S56" s="8" t="str">
        <f t="shared" si="0"/>
        <v>Rush Hour</v>
      </c>
      <c r="T56" s="8" t="str">
        <f t="shared" si="1"/>
        <v>Medium</v>
      </c>
      <c r="U56" s="8" t="str">
        <f t="shared" si="2"/>
        <v>Morning</v>
      </c>
      <c r="V56" s="8"/>
      <c r="W56" s="8"/>
    </row>
    <row r="57" spans="1:23" ht="15.75" thickBot="1" x14ac:dyDescent="0.3">
      <c r="A57" s="5">
        <v>56</v>
      </c>
      <c r="B57" s="6">
        <v>40546</v>
      </c>
      <c r="C57" s="5">
        <v>1</v>
      </c>
      <c r="D57" s="5">
        <v>0</v>
      </c>
      <c r="E57" s="5">
        <v>1</v>
      </c>
      <c r="F57" s="5">
        <v>10</v>
      </c>
      <c r="G57" s="7" t="b">
        <v>0</v>
      </c>
      <c r="H57" s="5">
        <v>1</v>
      </c>
      <c r="I57" s="5">
        <v>1</v>
      </c>
      <c r="J57" s="5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  <c r="Q57" t="s">
        <v>48</v>
      </c>
      <c r="R57" t="s">
        <v>22</v>
      </c>
      <c r="S57" s="8" t="str">
        <f t="shared" si="0"/>
        <v>Normal</v>
      </c>
      <c r="T57" s="8" t="str">
        <f t="shared" si="1"/>
        <v>Low</v>
      </c>
      <c r="U57" s="8" t="str">
        <f t="shared" si="2"/>
        <v>Morning</v>
      </c>
      <c r="V57" s="8"/>
      <c r="W57" s="8"/>
    </row>
    <row r="58" spans="1:23" ht="15.75" thickBot="1" x14ac:dyDescent="0.3">
      <c r="A58" s="5">
        <v>57</v>
      </c>
      <c r="B58" s="6">
        <v>40546</v>
      </c>
      <c r="C58" s="5">
        <v>1</v>
      </c>
      <c r="D58" s="5">
        <v>0</v>
      </c>
      <c r="E58" s="5">
        <v>1</v>
      </c>
      <c r="F58" s="5">
        <v>11</v>
      </c>
      <c r="G58" s="7" t="b">
        <v>0</v>
      </c>
      <c r="H58" s="5">
        <v>1</v>
      </c>
      <c r="I58" s="5">
        <v>1</v>
      </c>
      <c r="J58" s="5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  <c r="Q58" t="s">
        <v>48</v>
      </c>
      <c r="R58" t="s">
        <v>22</v>
      </c>
      <c r="S58" s="8" t="str">
        <f t="shared" si="0"/>
        <v>Normal</v>
      </c>
      <c r="T58" s="8" t="str">
        <f t="shared" si="1"/>
        <v>Medium</v>
      </c>
      <c r="U58" s="8" t="str">
        <f t="shared" si="2"/>
        <v>Morning</v>
      </c>
      <c r="V58" s="8"/>
      <c r="W58" s="8"/>
    </row>
    <row r="59" spans="1:23" ht="15.75" thickBot="1" x14ac:dyDescent="0.3">
      <c r="A59" s="5">
        <v>58</v>
      </c>
      <c r="B59" s="6">
        <v>40546</v>
      </c>
      <c r="C59" s="5">
        <v>1</v>
      </c>
      <c r="D59" s="5">
        <v>0</v>
      </c>
      <c r="E59" s="5">
        <v>1</v>
      </c>
      <c r="F59" s="5">
        <v>12</v>
      </c>
      <c r="G59" s="7" t="b">
        <v>0</v>
      </c>
      <c r="H59" s="5">
        <v>1</v>
      </c>
      <c r="I59" s="5">
        <v>1</v>
      </c>
      <c r="J59" s="5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  <c r="Q59" t="s">
        <v>48</v>
      </c>
      <c r="R59" t="s">
        <v>22</v>
      </c>
      <c r="S59" s="8" t="str">
        <f t="shared" si="0"/>
        <v>Normal</v>
      </c>
      <c r="T59" s="8" t="str">
        <f t="shared" si="1"/>
        <v>Medium</v>
      </c>
      <c r="U59" s="8" t="str">
        <f t="shared" si="2"/>
        <v>Afternoon</v>
      </c>
      <c r="V59" s="8"/>
      <c r="W59" s="8"/>
    </row>
    <row r="60" spans="1:23" ht="15.75" thickBot="1" x14ac:dyDescent="0.3">
      <c r="A60" s="5">
        <v>59</v>
      </c>
      <c r="B60" s="6">
        <v>40546</v>
      </c>
      <c r="C60" s="5">
        <v>1</v>
      </c>
      <c r="D60" s="5">
        <v>0</v>
      </c>
      <c r="E60" s="5">
        <v>1</v>
      </c>
      <c r="F60" s="5">
        <v>13</v>
      </c>
      <c r="G60" s="7" t="b">
        <v>0</v>
      </c>
      <c r="H60" s="5">
        <v>1</v>
      </c>
      <c r="I60" s="5">
        <v>1</v>
      </c>
      <c r="J60" s="5">
        <v>0.24</v>
      </c>
      <c r="K60">
        <v>0.13639999999999999</v>
      </c>
      <c r="L60">
        <v>0.35</v>
      </c>
      <c r="M60">
        <v>0.28360000000000002</v>
      </c>
      <c r="N60">
        <v>8</v>
      </c>
      <c r="O60">
        <v>53</v>
      </c>
      <c r="P60">
        <v>61</v>
      </c>
      <c r="Q60" t="s">
        <v>48</v>
      </c>
      <c r="R60" t="s">
        <v>22</v>
      </c>
      <c r="S60" s="8" t="str">
        <f t="shared" si="0"/>
        <v>Normal</v>
      </c>
      <c r="T60" s="8" t="str">
        <f t="shared" si="1"/>
        <v>Medium</v>
      </c>
      <c r="U60" s="8" t="str">
        <f t="shared" si="2"/>
        <v>Afternoon</v>
      </c>
      <c r="V60" s="8"/>
      <c r="W60" s="8"/>
    </row>
    <row r="61" spans="1:23" ht="15.75" thickBot="1" x14ac:dyDescent="0.3">
      <c r="A61" s="5">
        <v>60</v>
      </c>
      <c r="B61" s="6">
        <v>40546</v>
      </c>
      <c r="C61" s="5">
        <v>1</v>
      </c>
      <c r="D61" s="5">
        <v>0</v>
      </c>
      <c r="E61" s="5">
        <v>1</v>
      </c>
      <c r="F61" s="5">
        <v>14</v>
      </c>
      <c r="G61" s="7" t="b">
        <v>0</v>
      </c>
      <c r="H61" s="5">
        <v>1</v>
      </c>
      <c r="I61" s="5">
        <v>1</v>
      </c>
      <c r="J61" s="5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  <c r="Q61" t="s">
        <v>48</v>
      </c>
      <c r="R61" t="s">
        <v>22</v>
      </c>
      <c r="S61" s="8" t="str">
        <f t="shared" si="0"/>
        <v>Normal</v>
      </c>
      <c r="T61" s="8" t="str">
        <f t="shared" si="1"/>
        <v>Medium</v>
      </c>
      <c r="U61" s="8" t="str">
        <f t="shared" si="2"/>
        <v>Afternoon</v>
      </c>
      <c r="V61" s="8"/>
      <c r="W61" s="8"/>
    </row>
    <row r="62" spans="1:23" ht="15.75" thickBot="1" x14ac:dyDescent="0.3">
      <c r="A62" s="5">
        <v>61</v>
      </c>
      <c r="B62" s="6">
        <v>40546</v>
      </c>
      <c r="C62" s="5">
        <v>1</v>
      </c>
      <c r="D62" s="5">
        <v>0</v>
      </c>
      <c r="E62" s="5">
        <v>1</v>
      </c>
      <c r="F62" s="5">
        <v>15</v>
      </c>
      <c r="G62" s="7" t="b">
        <v>0</v>
      </c>
      <c r="H62" s="5">
        <v>1</v>
      </c>
      <c r="I62" s="5">
        <v>1</v>
      </c>
      <c r="J62" s="5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  <c r="Q62" t="s">
        <v>48</v>
      </c>
      <c r="R62" t="s">
        <v>22</v>
      </c>
      <c r="S62" s="8" t="str">
        <f t="shared" si="0"/>
        <v>Normal</v>
      </c>
      <c r="T62" s="8" t="str">
        <f t="shared" si="1"/>
        <v>Medium</v>
      </c>
      <c r="U62" s="8" t="str">
        <f t="shared" si="2"/>
        <v>Afternoon</v>
      </c>
      <c r="V62" s="8"/>
      <c r="W62" s="8"/>
    </row>
    <row r="63" spans="1:23" ht="15.75" thickBot="1" x14ac:dyDescent="0.3">
      <c r="A63" s="5">
        <v>62</v>
      </c>
      <c r="B63" s="6">
        <v>40546</v>
      </c>
      <c r="C63" s="5">
        <v>1</v>
      </c>
      <c r="D63" s="5">
        <v>0</v>
      </c>
      <c r="E63" s="5">
        <v>1</v>
      </c>
      <c r="F63" s="5">
        <v>16</v>
      </c>
      <c r="G63" s="7" t="b">
        <v>0</v>
      </c>
      <c r="H63" s="5">
        <v>1</v>
      </c>
      <c r="I63" s="5">
        <v>1</v>
      </c>
      <c r="J63" s="5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  <c r="Q63" t="s">
        <v>48</v>
      </c>
      <c r="R63" t="s">
        <v>22</v>
      </c>
      <c r="S63" s="8" t="str">
        <f t="shared" si="0"/>
        <v>Normal</v>
      </c>
      <c r="T63" s="8" t="str">
        <f t="shared" si="1"/>
        <v>Medium</v>
      </c>
      <c r="U63" s="8" t="str">
        <f t="shared" si="2"/>
        <v>Afternoon</v>
      </c>
      <c r="V63" s="8"/>
      <c r="W63" s="8"/>
    </row>
    <row r="64" spans="1:23" ht="15.75" thickBot="1" x14ac:dyDescent="0.3">
      <c r="A64" s="5">
        <v>63</v>
      </c>
      <c r="B64" s="6">
        <v>40546</v>
      </c>
      <c r="C64" s="5">
        <v>1</v>
      </c>
      <c r="D64" s="5">
        <v>0</v>
      </c>
      <c r="E64" s="5">
        <v>1</v>
      </c>
      <c r="F64" s="5">
        <v>17</v>
      </c>
      <c r="G64" s="7" t="b">
        <v>0</v>
      </c>
      <c r="H64" s="5">
        <v>1</v>
      </c>
      <c r="I64" s="5">
        <v>1</v>
      </c>
      <c r="J64" s="5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  <c r="Q64" t="s">
        <v>48</v>
      </c>
      <c r="R64" t="s">
        <v>22</v>
      </c>
      <c r="S64" s="8" t="str">
        <f t="shared" si="0"/>
        <v>Rush Hour</v>
      </c>
      <c r="T64" s="8" t="str">
        <f t="shared" si="1"/>
        <v>High</v>
      </c>
      <c r="U64" s="8" t="str">
        <f t="shared" si="2"/>
        <v>Afternoon</v>
      </c>
      <c r="V64" s="8"/>
      <c r="W64" s="8"/>
    </row>
    <row r="65" spans="1:23" ht="15.75" thickBot="1" x14ac:dyDescent="0.3">
      <c r="A65" s="5">
        <v>64</v>
      </c>
      <c r="B65" s="6">
        <v>40546</v>
      </c>
      <c r="C65" s="5">
        <v>1</v>
      </c>
      <c r="D65" s="5">
        <v>0</v>
      </c>
      <c r="E65" s="5">
        <v>1</v>
      </c>
      <c r="F65" s="5">
        <v>18</v>
      </c>
      <c r="G65" s="7" t="b">
        <v>0</v>
      </c>
      <c r="H65" s="5">
        <v>1</v>
      </c>
      <c r="I65" s="5">
        <v>1</v>
      </c>
      <c r="J65" s="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  <c r="Q65" t="s">
        <v>48</v>
      </c>
      <c r="R65" t="s">
        <v>22</v>
      </c>
      <c r="S65" s="8" t="str">
        <f t="shared" si="0"/>
        <v>Rush Hour</v>
      </c>
      <c r="T65" s="8" t="str">
        <f t="shared" si="1"/>
        <v>High</v>
      </c>
      <c r="U65" s="8" t="str">
        <f t="shared" si="2"/>
        <v>Evening</v>
      </c>
      <c r="V65" s="8"/>
      <c r="W65" s="8"/>
    </row>
    <row r="66" spans="1:23" ht="15.75" thickBot="1" x14ac:dyDescent="0.3">
      <c r="A66" s="5">
        <v>65</v>
      </c>
      <c r="B66" s="6">
        <v>40546</v>
      </c>
      <c r="C66" s="5">
        <v>1</v>
      </c>
      <c r="D66" s="5">
        <v>0</v>
      </c>
      <c r="E66" s="5">
        <v>1</v>
      </c>
      <c r="F66" s="5">
        <v>19</v>
      </c>
      <c r="G66" s="7" t="b">
        <v>0</v>
      </c>
      <c r="H66" s="5">
        <v>1</v>
      </c>
      <c r="I66" s="5">
        <v>1</v>
      </c>
      <c r="J66" s="5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  <c r="Q66" t="s">
        <v>48</v>
      </c>
      <c r="R66" t="s">
        <v>22</v>
      </c>
      <c r="S66" s="8" t="str">
        <f t="shared" si="0"/>
        <v>Rush Hour</v>
      </c>
      <c r="T66" s="8" t="str">
        <f t="shared" si="1"/>
        <v>Medium</v>
      </c>
      <c r="U66" s="8" t="str">
        <f t="shared" si="2"/>
        <v>Evening</v>
      </c>
      <c r="V66" s="8"/>
      <c r="W66" s="8"/>
    </row>
    <row r="67" spans="1:23" ht="15.75" thickBot="1" x14ac:dyDescent="0.3">
      <c r="A67" s="5">
        <v>66</v>
      </c>
      <c r="B67" s="6">
        <v>40546</v>
      </c>
      <c r="C67" s="5">
        <v>1</v>
      </c>
      <c r="D67" s="5">
        <v>0</v>
      </c>
      <c r="E67" s="5">
        <v>1</v>
      </c>
      <c r="F67" s="5">
        <v>20</v>
      </c>
      <c r="G67" s="7" t="b">
        <v>0</v>
      </c>
      <c r="H67" s="5">
        <v>1</v>
      </c>
      <c r="I67" s="5">
        <v>1</v>
      </c>
      <c r="J67" s="5">
        <v>0.2</v>
      </c>
      <c r="K67">
        <v>0.21210000000000001</v>
      </c>
      <c r="L67">
        <v>0.47</v>
      </c>
      <c r="M67">
        <v>0.1045</v>
      </c>
      <c r="N67">
        <v>3</v>
      </c>
      <c r="O67">
        <v>49</v>
      </c>
      <c r="P67">
        <v>52</v>
      </c>
      <c r="Q67" t="s">
        <v>48</v>
      </c>
      <c r="R67" t="s">
        <v>22</v>
      </c>
      <c r="S67" s="8" t="str">
        <f t="shared" ref="S67:S130" si="3">IF(OR(AND(F67&gt;=7,F67&lt;=9),AND(F67&gt;=17,F67&lt;=19)),"Rush Hour","Normal")</f>
        <v>Normal</v>
      </c>
      <c r="T67" s="8" t="str">
        <f t="shared" ref="T67:T130" si="4">IF(P67&gt;150,"High",IF(P67&gt;50,"Medium","Low"))</f>
        <v>Medium</v>
      </c>
      <c r="U67" s="8" t="str">
        <f t="shared" ref="U67:U130" si="5">IF(F67&lt;6,"Night", IF(F67&lt;12,"Morning", IF(F67&lt;18,"Afternoon","Evening")))</f>
        <v>Evening</v>
      </c>
      <c r="V67" s="8"/>
      <c r="W67" s="8"/>
    </row>
    <row r="68" spans="1:23" ht="15.75" thickBot="1" x14ac:dyDescent="0.3">
      <c r="A68" s="5">
        <v>67</v>
      </c>
      <c r="B68" s="6">
        <v>40546</v>
      </c>
      <c r="C68" s="5">
        <v>1</v>
      </c>
      <c r="D68" s="5">
        <v>0</v>
      </c>
      <c r="E68" s="5">
        <v>1</v>
      </c>
      <c r="F68" s="5">
        <v>21</v>
      </c>
      <c r="G68" s="7" t="b">
        <v>0</v>
      </c>
      <c r="H68" s="5">
        <v>1</v>
      </c>
      <c r="I68" s="5">
        <v>1</v>
      </c>
      <c r="J68" s="5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  <c r="Q68" t="s">
        <v>48</v>
      </c>
      <c r="R68" t="s">
        <v>22</v>
      </c>
      <c r="S68" s="8" t="str">
        <f t="shared" si="3"/>
        <v>Normal</v>
      </c>
      <c r="T68" s="8" t="str">
        <f t="shared" si="4"/>
        <v>Medium</v>
      </c>
      <c r="U68" s="8" t="str">
        <f t="shared" si="5"/>
        <v>Evening</v>
      </c>
      <c r="V68" s="8"/>
      <c r="W68" s="8"/>
    </row>
    <row r="69" spans="1:23" ht="15.75" thickBot="1" x14ac:dyDescent="0.3">
      <c r="A69" s="5">
        <v>68</v>
      </c>
      <c r="B69" s="6">
        <v>40546</v>
      </c>
      <c r="C69" s="5">
        <v>1</v>
      </c>
      <c r="D69" s="5">
        <v>0</v>
      </c>
      <c r="E69" s="5">
        <v>1</v>
      </c>
      <c r="F69" s="5">
        <v>22</v>
      </c>
      <c r="G69" s="7" t="b">
        <v>0</v>
      </c>
      <c r="H69" s="5">
        <v>1</v>
      </c>
      <c r="I69" s="5">
        <v>1</v>
      </c>
      <c r="J69" s="5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  <c r="Q69" t="s">
        <v>48</v>
      </c>
      <c r="R69" t="s">
        <v>22</v>
      </c>
      <c r="S69" s="8" t="str">
        <f t="shared" si="3"/>
        <v>Normal</v>
      </c>
      <c r="T69" s="8" t="str">
        <f t="shared" si="4"/>
        <v>Low</v>
      </c>
      <c r="U69" s="8" t="str">
        <f t="shared" si="5"/>
        <v>Evening</v>
      </c>
      <c r="V69" s="8"/>
      <c r="W69" s="8"/>
    </row>
    <row r="70" spans="1:23" ht="15.75" thickBot="1" x14ac:dyDescent="0.3">
      <c r="A70" s="5">
        <v>69</v>
      </c>
      <c r="B70" s="6">
        <v>40546</v>
      </c>
      <c r="C70" s="5">
        <v>1</v>
      </c>
      <c r="D70" s="5">
        <v>0</v>
      </c>
      <c r="E70" s="5">
        <v>1</v>
      </c>
      <c r="F70" s="5">
        <v>23</v>
      </c>
      <c r="G70" s="7" t="b">
        <v>0</v>
      </c>
      <c r="H70" s="5">
        <v>1</v>
      </c>
      <c r="I70" s="5">
        <v>1</v>
      </c>
      <c r="J70" s="5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  <c r="Q70" t="s">
        <v>48</v>
      </c>
      <c r="R70" t="s">
        <v>22</v>
      </c>
      <c r="S70" s="8" t="str">
        <f t="shared" si="3"/>
        <v>Normal</v>
      </c>
      <c r="T70" s="8" t="str">
        <f t="shared" si="4"/>
        <v>Low</v>
      </c>
      <c r="U70" s="8" t="str">
        <f t="shared" si="5"/>
        <v>Evening</v>
      </c>
      <c r="V70" s="8"/>
      <c r="W70" s="8"/>
    </row>
    <row r="71" spans="1:23" ht="15.75" thickBot="1" x14ac:dyDescent="0.3">
      <c r="A71" s="5">
        <v>70</v>
      </c>
      <c r="B71" s="6">
        <v>40547</v>
      </c>
      <c r="C71" s="5">
        <v>1</v>
      </c>
      <c r="D71" s="5">
        <v>0</v>
      </c>
      <c r="E71" s="5">
        <v>1</v>
      </c>
      <c r="F71" s="5">
        <v>0</v>
      </c>
      <c r="G71" s="7" t="b">
        <v>0</v>
      </c>
      <c r="H71" s="5">
        <v>2</v>
      </c>
      <c r="I71" s="5">
        <v>1</v>
      </c>
      <c r="J71" s="5">
        <v>0.16</v>
      </c>
      <c r="K71">
        <v>0.2424</v>
      </c>
      <c r="L71">
        <v>0.55000000000000004</v>
      </c>
      <c r="M71">
        <v>0.1045</v>
      </c>
      <c r="N71">
        <v>0</v>
      </c>
      <c r="O71">
        <v>5</v>
      </c>
      <c r="P71">
        <v>5</v>
      </c>
      <c r="Q71" t="s">
        <v>49</v>
      </c>
      <c r="R71" t="s">
        <v>22</v>
      </c>
      <c r="S71" s="8" t="str">
        <f t="shared" si="3"/>
        <v>Normal</v>
      </c>
      <c r="T71" s="8" t="str">
        <f t="shared" si="4"/>
        <v>Low</v>
      </c>
      <c r="U71" s="8" t="str">
        <f t="shared" si="5"/>
        <v>Night</v>
      </c>
      <c r="V71" s="8"/>
      <c r="W71" s="8"/>
    </row>
    <row r="72" spans="1:23" ht="15.75" thickBot="1" x14ac:dyDescent="0.3">
      <c r="A72" s="5">
        <v>71</v>
      </c>
      <c r="B72" s="6">
        <v>40547</v>
      </c>
      <c r="C72" s="5">
        <v>1</v>
      </c>
      <c r="D72" s="5">
        <v>0</v>
      </c>
      <c r="E72" s="5">
        <v>1</v>
      </c>
      <c r="F72" s="5">
        <v>1</v>
      </c>
      <c r="G72" s="7" t="b">
        <v>0</v>
      </c>
      <c r="H72" s="5">
        <v>2</v>
      </c>
      <c r="I72" s="5">
        <v>1</v>
      </c>
      <c r="J72" s="5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  <c r="Q72" t="s">
        <v>49</v>
      </c>
      <c r="R72" t="s">
        <v>22</v>
      </c>
      <c r="S72" s="8" t="str">
        <f t="shared" si="3"/>
        <v>Normal</v>
      </c>
      <c r="T72" s="8" t="str">
        <f t="shared" si="4"/>
        <v>Low</v>
      </c>
      <c r="U72" s="8" t="str">
        <f t="shared" si="5"/>
        <v>Night</v>
      </c>
      <c r="V72" s="8"/>
      <c r="W72" s="8"/>
    </row>
    <row r="73" spans="1:23" ht="15.75" thickBot="1" x14ac:dyDescent="0.3">
      <c r="A73" s="5">
        <v>72</v>
      </c>
      <c r="B73" s="6">
        <v>40547</v>
      </c>
      <c r="C73" s="5">
        <v>1</v>
      </c>
      <c r="D73" s="5">
        <v>0</v>
      </c>
      <c r="E73" s="5">
        <v>1</v>
      </c>
      <c r="F73" s="5">
        <v>2</v>
      </c>
      <c r="G73" s="7" t="b">
        <v>0</v>
      </c>
      <c r="H73" s="5">
        <v>2</v>
      </c>
      <c r="I73" s="5">
        <v>1</v>
      </c>
      <c r="J73" s="5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  <c r="Q73" t="s">
        <v>49</v>
      </c>
      <c r="R73" t="s">
        <v>22</v>
      </c>
      <c r="S73" s="8" t="str">
        <f t="shared" si="3"/>
        <v>Normal</v>
      </c>
      <c r="T73" s="8" t="str">
        <f t="shared" si="4"/>
        <v>Low</v>
      </c>
      <c r="U73" s="8" t="str">
        <f t="shared" si="5"/>
        <v>Night</v>
      </c>
      <c r="V73" s="8"/>
      <c r="W73" s="8"/>
    </row>
    <row r="74" spans="1:23" ht="15.75" thickBot="1" x14ac:dyDescent="0.3">
      <c r="A74" s="5">
        <v>73</v>
      </c>
      <c r="B74" s="6">
        <v>40547</v>
      </c>
      <c r="C74" s="5">
        <v>1</v>
      </c>
      <c r="D74" s="5">
        <v>0</v>
      </c>
      <c r="E74" s="5">
        <v>1</v>
      </c>
      <c r="F74" s="5">
        <v>4</v>
      </c>
      <c r="G74" s="7" t="b">
        <v>0</v>
      </c>
      <c r="H74" s="5">
        <v>2</v>
      </c>
      <c r="I74" s="5">
        <v>1</v>
      </c>
      <c r="J74" s="5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  <c r="Q74" t="s">
        <v>49</v>
      </c>
      <c r="R74" t="s">
        <v>22</v>
      </c>
      <c r="S74" s="8" t="str">
        <f t="shared" si="3"/>
        <v>Normal</v>
      </c>
      <c r="T74" s="8" t="str">
        <f t="shared" si="4"/>
        <v>Low</v>
      </c>
      <c r="U74" s="8" t="str">
        <f t="shared" si="5"/>
        <v>Night</v>
      </c>
      <c r="V74" s="8"/>
      <c r="W74" s="8"/>
    </row>
    <row r="75" spans="1:23" ht="15.75" thickBot="1" x14ac:dyDescent="0.3">
      <c r="A75" s="5">
        <v>74</v>
      </c>
      <c r="B75" s="6">
        <v>40547</v>
      </c>
      <c r="C75" s="5">
        <v>1</v>
      </c>
      <c r="D75" s="5">
        <v>0</v>
      </c>
      <c r="E75" s="5">
        <v>1</v>
      </c>
      <c r="F75" s="5">
        <v>5</v>
      </c>
      <c r="G75" s="7" t="b">
        <v>0</v>
      </c>
      <c r="H75" s="5">
        <v>2</v>
      </c>
      <c r="I75" s="5">
        <v>1</v>
      </c>
      <c r="J75" s="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  <c r="Q75" t="s">
        <v>49</v>
      </c>
      <c r="R75" t="s">
        <v>22</v>
      </c>
      <c r="S75" s="8" t="str">
        <f t="shared" si="3"/>
        <v>Normal</v>
      </c>
      <c r="T75" s="8" t="str">
        <f t="shared" si="4"/>
        <v>Low</v>
      </c>
      <c r="U75" s="8" t="str">
        <f t="shared" si="5"/>
        <v>Night</v>
      </c>
      <c r="V75" s="8"/>
      <c r="W75" s="8"/>
    </row>
    <row r="76" spans="1:23" ht="15.75" thickBot="1" x14ac:dyDescent="0.3">
      <c r="A76" s="5">
        <v>75</v>
      </c>
      <c r="B76" s="6">
        <v>40547</v>
      </c>
      <c r="C76" s="5">
        <v>1</v>
      </c>
      <c r="D76" s="5">
        <v>0</v>
      </c>
      <c r="E76" s="5">
        <v>1</v>
      </c>
      <c r="F76" s="5">
        <v>6</v>
      </c>
      <c r="G76" s="7" t="b">
        <v>0</v>
      </c>
      <c r="H76" s="5">
        <v>2</v>
      </c>
      <c r="I76" s="5">
        <v>1</v>
      </c>
      <c r="J76" s="5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  <c r="Q76" t="s">
        <v>49</v>
      </c>
      <c r="R76" t="s">
        <v>22</v>
      </c>
      <c r="S76" s="8" t="str">
        <f t="shared" si="3"/>
        <v>Normal</v>
      </c>
      <c r="T76" s="8" t="str">
        <f t="shared" si="4"/>
        <v>Low</v>
      </c>
      <c r="U76" s="8" t="str">
        <f t="shared" si="5"/>
        <v>Morning</v>
      </c>
      <c r="V76" s="8"/>
      <c r="W76" s="8"/>
    </row>
    <row r="77" spans="1:23" ht="15.75" thickBot="1" x14ac:dyDescent="0.3">
      <c r="A77" s="5">
        <v>76</v>
      </c>
      <c r="B77" s="6">
        <v>40547</v>
      </c>
      <c r="C77" s="5">
        <v>1</v>
      </c>
      <c r="D77" s="5">
        <v>0</v>
      </c>
      <c r="E77" s="5">
        <v>1</v>
      </c>
      <c r="F77" s="5">
        <v>7</v>
      </c>
      <c r="G77" s="7" t="b">
        <v>0</v>
      </c>
      <c r="H77" s="5">
        <v>2</v>
      </c>
      <c r="I77" s="5">
        <v>1</v>
      </c>
      <c r="J77" s="5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  <c r="Q77" t="s">
        <v>49</v>
      </c>
      <c r="R77" t="s">
        <v>22</v>
      </c>
      <c r="S77" s="8" t="str">
        <f t="shared" si="3"/>
        <v>Rush Hour</v>
      </c>
      <c r="T77" s="8" t="str">
        <f t="shared" si="4"/>
        <v>Medium</v>
      </c>
      <c r="U77" s="8" t="str">
        <f t="shared" si="5"/>
        <v>Morning</v>
      </c>
      <c r="V77" s="8"/>
      <c r="W77" s="8"/>
    </row>
    <row r="78" spans="1:23" ht="15.75" thickBot="1" x14ac:dyDescent="0.3">
      <c r="A78" s="5">
        <v>77</v>
      </c>
      <c r="B78" s="6">
        <v>40547</v>
      </c>
      <c r="C78" s="5">
        <v>1</v>
      </c>
      <c r="D78" s="5">
        <v>0</v>
      </c>
      <c r="E78" s="5">
        <v>1</v>
      </c>
      <c r="F78" s="5">
        <v>8</v>
      </c>
      <c r="G78" s="7" t="b">
        <v>0</v>
      </c>
      <c r="H78" s="5">
        <v>2</v>
      </c>
      <c r="I78" s="5">
        <v>1</v>
      </c>
      <c r="J78" s="5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  <c r="Q78" t="s">
        <v>49</v>
      </c>
      <c r="R78" t="s">
        <v>22</v>
      </c>
      <c r="S78" s="8" t="str">
        <f t="shared" si="3"/>
        <v>Rush Hour</v>
      </c>
      <c r="T78" s="8" t="str">
        <f t="shared" si="4"/>
        <v>High</v>
      </c>
      <c r="U78" s="8" t="str">
        <f t="shared" si="5"/>
        <v>Morning</v>
      </c>
      <c r="V78" s="8"/>
      <c r="W78" s="8"/>
    </row>
    <row r="79" spans="1:23" ht="15.75" thickBot="1" x14ac:dyDescent="0.3">
      <c r="A79" s="5">
        <v>78</v>
      </c>
      <c r="B79" s="6">
        <v>40547</v>
      </c>
      <c r="C79" s="5">
        <v>1</v>
      </c>
      <c r="D79" s="5">
        <v>0</v>
      </c>
      <c r="E79" s="5">
        <v>1</v>
      </c>
      <c r="F79" s="5">
        <v>9</v>
      </c>
      <c r="G79" s="7" t="b">
        <v>0</v>
      </c>
      <c r="H79" s="5">
        <v>2</v>
      </c>
      <c r="I79" s="5">
        <v>1</v>
      </c>
      <c r="J79" s="5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  <c r="Q79" t="s">
        <v>49</v>
      </c>
      <c r="R79" t="s">
        <v>22</v>
      </c>
      <c r="S79" s="8" t="str">
        <f t="shared" si="3"/>
        <v>Rush Hour</v>
      </c>
      <c r="T79" s="8" t="str">
        <f t="shared" si="4"/>
        <v>Medium</v>
      </c>
      <c r="U79" s="8" t="str">
        <f t="shared" si="5"/>
        <v>Morning</v>
      </c>
      <c r="V79" s="8"/>
      <c r="W79" s="8"/>
    </row>
    <row r="80" spans="1:23" ht="15.75" thickBot="1" x14ac:dyDescent="0.3">
      <c r="A80" s="5">
        <v>79</v>
      </c>
      <c r="B80" s="6">
        <v>40547</v>
      </c>
      <c r="C80" s="5">
        <v>1</v>
      </c>
      <c r="D80" s="5">
        <v>0</v>
      </c>
      <c r="E80" s="5">
        <v>1</v>
      </c>
      <c r="F80" s="5">
        <v>10</v>
      </c>
      <c r="G80" s="7" t="b">
        <v>0</v>
      </c>
      <c r="H80" s="5">
        <v>2</v>
      </c>
      <c r="I80" s="5">
        <v>2</v>
      </c>
      <c r="J80" s="5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  <c r="Q80" t="s">
        <v>49</v>
      </c>
      <c r="R80" t="s">
        <v>26</v>
      </c>
      <c r="S80" s="8" t="str">
        <f t="shared" si="3"/>
        <v>Normal</v>
      </c>
      <c r="T80" s="8" t="str">
        <f t="shared" si="4"/>
        <v>Low</v>
      </c>
      <c r="U80" s="8" t="str">
        <f t="shared" si="5"/>
        <v>Morning</v>
      </c>
      <c r="V80" s="8"/>
      <c r="W80" s="8"/>
    </row>
    <row r="81" spans="1:23" ht="15.75" thickBot="1" x14ac:dyDescent="0.3">
      <c r="A81" s="5">
        <v>80</v>
      </c>
      <c r="B81" s="6">
        <v>40547</v>
      </c>
      <c r="C81" s="5">
        <v>1</v>
      </c>
      <c r="D81" s="5">
        <v>0</v>
      </c>
      <c r="E81" s="5">
        <v>1</v>
      </c>
      <c r="F81" s="5">
        <v>11</v>
      </c>
      <c r="G81" s="7" t="b">
        <v>0</v>
      </c>
      <c r="H81" s="5">
        <v>2</v>
      </c>
      <c r="I81" s="5">
        <v>1</v>
      </c>
      <c r="J81" s="5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  <c r="Q81" t="s">
        <v>49</v>
      </c>
      <c r="R81" t="s">
        <v>22</v>
      </c>
      <c r="S81" s="8" t="str">
        <f t="shared" si="3"/>
        <v>Normal</v>
      </c>
      <c r="T81" s="8" t="str">
        <f t="shared" si="4"/>
        <v>Medium</v>
      </c>
      <c r="U81" s="8" t="str">
        <f t="shared" si="5"/>
        <v>Morning</v>
      </c>
      <c r="V81" s="8"/>
      <c r="W81" s="8"/>
    </row>
    <row r="82" spans="1:23" ht="15.75" thickBot="1" x14ac:dyDescent="0.3">
      <c r="A82" s="5">
        <v>81</v>
      </c>
      <c r="B82" s="6">
        <v>40547</v>
      </c>
      <c r="C82" s="5">
        <v>1</v>
      </c>
      <c r="D82" s="5">
        <v>0</v>
      </c>
      <c r="E82" s="5">
        <v>1</v>
      </c>
      <c r="F82" s="5">
        <v>12</v>
      </c>
      <c r="G82" s="7" t="b">
        <v>0</v>
      </c>
      <c r="H82" s="5">
        <v>2</v>
      </c>
      <c r="I82" s="5">
        <v>1</v>
      </c>
      <c r="J82" s="5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  <c r="Q82" t="s">
        <v>49</v>
      </c>
      <c r="R82" t="s">
        <v>22</v>
      </c>
      <c r="S82" s="8" t="str">
        <f t="shared" si="3"/>
        <v>Normal</v>
      </c>
      <c r="T82" s="8" t="str">
        <f t="shared" si="4"/>
        <v>Medium</v>
      </c>
      <c r="U82" s="8" t="str">
        <f t="shared" si="5"/>
        <v>Afternoon</v>
      </c>
      <c r="V82" s="8"/>
      <c r="W82" s="8"/>
    </row>
    <row r="83" spans="1:23" ht="15.75" thickBot="1" x14ac:dyDescent="0.3">
      <c r="A83" s="5">
        <v>82</v>
      </c>
      <c r="B83" s="6">
        <v>40547</v>
      </c>
      <c r="C83" s="5">
        <v>1</v>
      </c>
      <c r="D83" s="5">
        <v>0</v>
      </c>
      <c r="E83" s="5">
        <v>1</v>
      </c>
      <c r="F83" s="5">
        <v>13</v>
      </c>
      <c r="G83" s="7" t="b">
        <v>0</v>
      </c>
      <c r="H83" s="5">
        <v>2</v>
      </c>
      <c r="I83" s="5">
        <v>1</v>
      </c>
      <c r="J83" s="5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  <c r="Q83" t="s">
        <v>49</v>
      </c>
      <c r="R83" t="s">
        <v>22</v>
      </c>
      <c r="S83" s="8" t="str">
        <f t="shared" si="3"/>
        <v>Normal</v>
      </c>
      <c r="T83" s="8" t="str">
        <f t="shared" si="4"/>
        <v>Medium</v>
      </c>
      <c r="U83" s="8" t="str">
        <f t="shared" si="5"/>
        <v>Afternoon</v>
      </c>
      <c r="V83" s="8"/>
      <c r="W83" s="8"/>
    </row>
    <row r="84" spans="1:23" ht="15.75" thickBot="1" x14ac:dyDescent="0.3">
      <c r="A84" s="5">
        <v>83</v>
      </c>
      <c r="B84" s="6">
        <v>40547</v>
      </c>
      <c r="C84" s="5">
        <v>1</v>
      </c>
      <c r="D84" s="5">
        <v>0</v>
      </c>
      <c r="E84" s="5">
        <v>1</v>
      </c>
      <c r="F84" s="5">
        <v>14</v>
      </c>
      <c r="G84" s="7" t="b">
        <v>0</v>
      </c>
      <c r="H84" s="5">
        <v>2</v>
      </c>
      <c r="I84" s="5">
        <v>1</v>
      </c>
      <c r="J84" s="5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  <c r="Q84" t="s">
        <v>49</v>
      </c>
      <c r="R84" t="s">
        <v>22</v>
      </c>
      <c r="S84" s="8" t="str">
        <f t="shared" si="3"/>
        <v>Normal</v>
      </c>
      <c r="T84" s="8" t="str">
        <f t="shared" si="4"/>
        <v>Medium</v>
      </c>
      <c r="U84" s="8" t="str">
        <f t="shared" si="5"/>
        <v>Afternoon</v>
      </c>
      <c r="V84" s="8"/>
      <c r="W84" s="8"/>
    </row>
    <row r="85" spans="1:23" ht="15.75" thickBot="1" x14ac:dyDescent="0.3">
      <c r="A85" s="5">
        <v>84</v>
      </c>
      <c r="B85" s="6">
        <v>40547</v>
      </c>
      <c r="C85" s="5">
        <v>1</v>
      </c>
      <c r="D85" s="5">
        <v>0</v>
      </c>
      <c r="E85" s="5">
        <v>1</v>
      </c>
      <c r="F85" s="5">
        <v>15</v>
      </c>
      <c r="G85" s="7" t="b">
        <v>0</v>
      </c>
      <c r="H85" s="5">
        <v>2</v>
      </c>
      <c r="I85" s="5">
        <v>1</v>
      </c>
      <c r="J85" s="5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  <c r="Q85" t="s">
        <v>49</v>
      </c>
      <c r="R85" t="s">
        <v>22</v>
      </c>
      <c r="S85" s="8" t="str">
        <f t="shared" si="3"/>
        <v>Normal</v>
      </c>
      <c r="T85" s="8" t="str">
        <f t="shared" si="4"/>
        <v>Medium</v>
      </c>
      <c r="U85" s="8" t="str">
        <f t="shared" si="5"/>
        <v>Afternoon</v>
      </c>
      <c r="V85" s="8"/>
      <c r="W85" s="8"/>
    </row>
    <row r="86" spans="1:23" ht="15.75" thickBot="1" x14ac:dyDescent="0.3">
      <c r="A86" s="5">
        <v>85</v>
      </c>
      <c r="B86" s="6">
        <v>40547</v>
      </c>
      <c r="C86" s="5">
        <v>1</v>
      </c>
      <c r="D86" s="5">
        <v>0</v>
      </c>
      <c r="E86" s="5">
        <v>1</v>
      </c>
      <c r="F86" s="5">
        <v>16</v>
      </c>
      <c r="G86" s="7" t="b">
        <v>0</v>
      </c>
      <c r="H86" s="5">
        <v>2</v>
      </c>
      <c r="I86" s="5">
        <v>1</v>
      </c>
      <c r="J86" s="5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  <c r="Q86" t="s">
        <v>49</v>
      </c>
      <c r="R86" t="s">
        <v>22</v>
      </c>
      <c r="S86" s="8" t="str">
        <f t="shared" si="3"/>
        <v>Normal</v>
      </c>
      <c r="T86" s="8" t="str">
        <f t="shared" si="4"/>
        <v>Medium</v>
      </c>
      <c r="U86" s="8" t="str">
        <f t="shared" si="5"/>
        <v>Afternoon</v>
      </c>
      <c r="V86" s="8"/>
      <c r="W86" s="8"/>
    </row>
    <row r="87" spans="1:23" ht="15.75" thickBot="1" x14ac:dyDescent="0.3">
      <c r="A87" s="5">
        <v>86</v>
      </c>
      <c r="B87" s="6">
        <v>40547</v>
      </c>
      <c r="C87" s="5">
        <v>1</v>
      </c>
      <c r="D87" s="5">
        <v>0</v>
      </c>
      <c r="E87" s="5">
        <v>1</v>
      </c>
      <c r="F87" s="5">
        <v>17</v>
      </c>
      <c r="G87" s="7" t="b">
        <v>0</v>
      </c>
      <c r="H87" s="5">
        <v>2</v>
      </c>
      <c r="I87" s="5">
        <v>1</v>
      </c>
      <c r="J87" s="5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  <c r="Q87" t="s">
        <v>49</v>
      </c>
      <c r="R87" t="s">
        <v>22</v>
      </c>
      <c r="S87" s="8" t="str">
        <f t="shared" si="3"/>
        <v>Rush Hour</v>
      </c>
      <c r="T87" s="8" t="str">
        <f t="shared" si="4"/>
        <v>High</v>
      </c>
      <c r="U87" s="8" t="str">
        <f t="shared" si="5"/>
        <v>Afternoon</v>
      </c>
      <c r="V87" s="8"/>
      <c r="W87" s="8"/>
    </row>
    <row r="88" spans="1:23" ht="15.75" thickBot="1" x14ac:dyDescent="0.3">
      <c r="A88" s="5">
        <v>87</v>
      </c>
      <c r="B88" s="6">
        <v>40547</v>
      </c>
      <c r="C88" s="5">
        <v>1</v>
      </c>
      <c r="D88" s="5">
        <v>0</v>
      </c>
      <c r="E88" s="5">
        <v>1</v>
      </c>
      <c r="F88" s="5">
        <v>18</v>
      </c>
      <c r="G88" s="7" t="b">
        <v>0</v>
      </c>
      <c r="H88" s="5">
        <v>2</v>
      </c>
      <c r="I88" s="5">
        <v>1</v>
      </c>
      <c r="J88" s="5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  <c r="Q88" t="s">
        <v>49</v>
      </c>
      <c r="R88" t="s">
        <v>22</v>
      </c>
      <c r="S88" s="8" t="str">
        <f t="shared" si="3"/>
        <v>Rush Hour</v>
      </c>
      <c r="T88" s="8" t="str">
        <f t="shared" si="4"/>
        <v>High</v>
      </c>
      <c r="U88" s="8" t="str">
        <f t="shared" si="5"/>
        <v>Evening</v>
      </c>
      <c r="V88" s="8"/>
      <c r="W88" s="8"/>
    </row>
    <row r="89" spans="1:23" ht="15.75" thickBot="1" x14ac:dyDescent="0.3">
      <c r="A89" s="5">
        <v>88</v>
      </c>
      <c r="B89" s="6">
        <v>40547</v>
      </c>
      <c r="C89" s="5">
        <v>1</v>
      </c>
      <c r="D89" s="5">
        <v>0</v>
      </c>
      <c r="E89" s="5">
        <v>1</v>
      </c>
      <c r="F89" s="5">
        <v>19</v>
      </c>
      <c r="G89" s="7" t="b">
        <v>0</v>
      </c>
      <c r="H89" s="5">
        <v>2</v>
      </c>
      <c r="I89" s="5">
        <v>1</v>
      </c>
      <c r="J89" s="5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  <c r="Q89" t="s">
        <v>49</v>
      </c>
      <c r="R89" t="s">
        <v>22</v>
      </c>
      <c r="S89" s="8" t="str">
        <f t="shared" si="3"/>
        <v>Rush Hour</v>
      </c>
      <c r="T89" s="8" t="str">
        <f t="shared" si="4"/>
        <v>Medium</v>
      </c>
      <c r="U89" s="8" t="str">
        <f t="shared" si="5"/>
        <v>Evening</v>
      </c>
      <c r="V89" s="8"/>
      <c r="W89" s="8"/>
    </row>
    <row r="90" spans="1:23" ht="15.75" thickBot="1" x14ac:dyDescent="0.3">
      <c r="A90" s="5">
        <v>89</v>
      </c>
      <c r="B90" s="6">
        <v>40547</v>
      </c>
      <c r="C90" s="5">
        <v>1</v>
      </c>
      <c r="D90" s="5">
        <v>0</v>
      </c>
      <c r="E90" s="5">
        <v>1</v>
      </c>
      <c r="F90" s="5">
        <v>20</v>
      </c>
      <c r="G90" s="7" t="b">
        <v>0</v>
      </c>
      <c r="H90" s="5">
        <v>2</v>
      </c>
      <c r="I90" s="5">
        <v>1</v>
      </c>
      <c r="J90" s="5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  <c r="Q90" t="s">
        <v>49</v>
      </c>
      <c r="R90" t="s">
        <v>22</v>
      </c>
      <c r="S90" s="8" t="str">
        <f t="shared" si="3"/>
        <v>Normal</v>
      </c>
      <c r="T90" s="8" t="str">
        <f t="shared" si="4"/>
        <v>Medium</v>
      </c>
      <c r="U90" s="8" t="str">
        <f t="shared" si="5"/>
        <v>Evening</v>
      </c>
      <c r="V90" s="8"/>
      <c r="W90" s="8"/>
    </row>
    <row r="91" spans="1:23" ht="15.75" thickBot="1" x14ac:dyDescent="0.3">
      <c r="A91" s="5">
        <v>90</v>
      </c>
      <c r="B91" s="6">
        <v>40547</v>
      </c>
      <c r="C91" s="5">
        <v>1</v>
      </c>
      <c r="D91" s="5">
        <v>0</v>
      </c>
      <c r="E91" s="5">
        <v>1</v>
      </c>
      <c r="F91" s="5">
        <v>21</v>
      </c>
      <c r="G91" s="7" t="b">
        <v>0</v>
      </c>
      <c r="H91" s="5">
        <v>2</v>
      </c>
      <c r="I91" s="5">
        <v>1</v>
      </c>
      <c r="J91" s="5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  <c r="Q91" t="s">
        <v>49</v>
      </c>
      <c r="R91" t="s">
        <v>22</v>
      </c>
      <c r="S91" s="8" t="str">
        <f t="shared" si="3"/>
        <v>Normal</v>
      </c>
      <c r="T91" s="8" t="str">
        <f t="shared" si="4"/>
        <v>Low</v>
      </c>
      <c r="U91" s="8" t="str">
        <f t="shared" si="5"/>
        <v>Evening</v>
      </c>
      <c r="V91" s="8"/>
      <c r="W91" s="8"/>
    </row>
    <row r="92" spans="1:23" ht="15.75" thickBot="1" x14ac:dyDescent="0.3">
      <c r="A92" s="5">
        <v>91</v>
      </c>
      <c r="B92" s="6">
        <v>40547</v>
      </c>
      <c r="C92" s="5">
        <v>1</v>
      </c>
      <c r="D92" s="5">
        <v>0</v>
      </c>
      <c r="E92" s="5">
        <v>1</v>
      </c>
      <c r="F92" s="5">
        <v>22</v>
      </c>
      <c r="G92" s="7" t="b">
        <v>0</v>
      </c>
      <c r="H92" s="5">
        <v>2</v>
      </c>
      <c r="I92" s="5">
        <v>1</v>
      </c>
      <c r="J92" s="5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  <c r="Q92" t="s">
        <v>49</v>
      </c>
      <c r="R92" t="s">
        <v>22</v>
      </c>
      <c r="S92" s="8" t="str">
        <f t="shared" si="3"/>
        <v>Normal</v>
      </c>
      <c r="T92" s="8" t="str">
        <f t="shared" si="4"/>
        <v>Low</v>
      </c>
      <c r="U92" s="8" t="str">
        <f t="shared" si="5"/>
        <v>Evening</v>
      </c>
      <c r="V92" s="8"/>
      <c r="W92" s="8"/>
    </row>
    <row r="93" spans="1:23" ht="15.75" thickBot="1" x14ac:dyDescent="0.3">
      <c r="A93" s="5">
        <v>92</v>
      </c>
      <c r="B93" s="6">
        <v>40547</v>
      </c>
      <c r="C93" s="5">
        <v>1</v>
      </c>
      <c r="D93" s="5">
        <v>0</v>
      </c>
      <c r="E93" s="5">
        <v>1</v>
      </c>
      <c r="F93" s="5">
        <v>23</v>
      </c>
      <c r="G93" s="7" t="b">
        <v>0</v>
      </c>
      <c r="H93" s="5">
        <v>2</v>
      </c>
      <c r="I93" s="5">
        <v>1</v>
      </c>
      <c r="J93" s="5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  <c r="Q93" t="s">
        <v>49</v>
      </c>
      <c r="R93" t="s">
        <v>22</v>
      </c>
      <c r="S93" s="8" t="str">
        <f t="shared" si="3"/>
        <v>Normal</v>
      </c>
      <c r="T93" s="8" t="str">
        <f t="shared" si="4"/>
        <v>Low</v>
      </c>
      <c r="U93" s="8" t="str">
        <f t="shared" si="5"/>
        <v>Evening</v>
      </c>
      <c r="V93" s="8"/>
      <c r="W93" s="8"/>
    </row>
    <row r="94" spans="1:23" ht="15.75" thickBot="1" x14ac:dyDescent="0.3">
      <c r="A94" s="5">
        <v>93</v>
      </c>
      <c r="B94" s="6">
        <v>40548</v>
      </c>
      <c r="C94" s="5">
        <v>1</v>
      </c>
      <c r="D94" s="5">
        <v>0</v>
      </c>
      <c r="E94" s="5">
        <v>1</v>
      </c>
      <c r="F94" s="5">
        <v>0</v>
      </c>
      <c r="G94" s="7" t="b">
        <v>0</v>
      </c>
      <c r="H94" s="5">
        <v>3</v>
      </c>
      <c r="I94" s="5">
        <v>1</v>
      </c>
      <c r="J94" s="5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  <c r="Q94" t="s">
        <v>50</v>
      </c>
      <c r="R94" t="s">
        <v>22</v>
      </c>
      <c r="S94" s="8" t="str">
        <f t="shared" si="3"/>
        <v>Normal</v>
      </c>
      <c r="T94" s="8" t="str">
        <f t="shared" si="4"/>
        <v>Low</v>
      </c>
      <c r="U94" s="8" t="str">
        <f t="shared" si="5"/>
        <v>Night</v>
      </c>
      <c r="V94" s="8"/>
      <c r="W94" s="8"/>
    </row>
    <row r="95" spans="1:23" ht="15.75" thickBot="1" x14ac:dyDescent="0.3">
      <c r="A95" s="5">
        <v>94</v>
      </c>
      <c r="B95" s="6">
        <v>40548</v>
      </c>
      <c r="C95" s="5">
        <v>1</v>
      </c>
      <c r="D95" s="5">
        <v>0</v>
      </c>
      <c r="E95" s="5">
        <v>1</v>
      </c>
      <c r="F95" s="5">
        <v>1</v>
      </c>
      <c r="G95" s="7" t="b">
        <v>0</v>
      </c>
      <c r="H95" s="5">
        <v>3</v>
      </c>
      <c r="I95" s="5">
        <v>1</v>
      </c>
      <c r="J95" s="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  <c r="Q95" t="s">
        <v>50</v>
      </c>
      <c r="R95" t="s">
        <v>22</v>
      </c>
      <c r="S95" s="8" t="str">
        <f t="shared" si="3"/>
        <v>Normal</v>
      </c>
      <c r="T95" s="8" t="str">
        <f t="shared" si="4"/>
        <v>Low</v>
      </c>
      <c r="U95" s="8" t="str">
        <f t="shared" si="5"/>
        <v>Night</v>
      </c>
      <c r="V95" s="8"/>
      <c r="W95" s="8"/>
    </row>
    <row r="96" spans="1:23" ht="15.75" thickBot="1" x14ac:dyDescent="0.3">
      <c r="A96" s="5">
        <v>95</v>
      </c>
      <c r="B96" s="6">
        <v>40548</v>
      </c>
      <c r="C96" s="5">
        <v>1</v>
      </c>
      <c r="D96" s="5">
        <v>0</v>
      </c>
      <c r="E96" s="5">
        <v>1</v>
      </c>
      <c r="F96" s="5">
        <v>2</v>
      </c>
      <c r="G96" s="7" t="b">
        <v>0</v>
      </c>
      <c r="H96" s="5">
        <v>3</v>
      </c>
      <c r="I96" s="5">
        <v>1</v>
      </c>
      <c r="J96" s="5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  <c r="Q96" t="s">
        <v>50</v>
      </c>
      <c r="R96" t="s">
        <v>22</v>
      </c>
      <c r="S96" s="8" t="str">
        <f t="shared" si="3"/>
        <v>Normal</v>
      </c>
      <c r="T96" s="8" t="str">
        <f t="shared" si="4"/>
        <v>Low</v>
      </c>
      <c r="U96" s="8" t="str">
        <f t="shared" si="5"/>
        <v>Night</v>
      </c>
      <c r="V96" s="8"/>
      <c r="W96" s="8"/>
    </row>
    <row r="97" spans="1:23" ht="15.75" thickBot="1" x14ac:dyDescent="0.3">
      <c r="A97" s="5">
        <v>96</v>
      </c>
      <c r="B97" s="6">
        <v>40548</v>
      </c>
      <c r="C97" s="5">
        <v>1</v>
      </c>
      <c r="D97" s="5">
        <v>0</v>
      </c>
      <c r="E97" s="5">
        <v>1</v>
      </c>
      <c r="F97" s="5">
        <v>4</v>
      </c>
      <c r="G97" s="7" t="b">
        <v>0</v>
      </c>
      <c r="H97" s="5">
        <v>3</v>
      </c>
      <c r="I97" s="5">
        <v>1</v>
      </c>
      <c r="J97" s="5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  <c r="Q97" t="s">
        <v>50</v>
      </c>
      <c r="R97" t="s">
        <v>22</v>
      </c>
      <c r="S97" s="8" t="str">
        <f t="shared" si="3"/>
        <v>Normal</v>
      </c>
      <c r="T97" s="8" t="str">
        <f t="shared" si="4"/>
        <v>Low</v>
      </c>
      <c r="U97" s="8" t="str">
        <f t="shared" si="5"/>
        <v>Night</v>
      </c>
      <c r="V97" s="8"/>
      <c r="W97" s="8"/>
    </row>
    <row r="98" spans="1:23" ht="15.75" thickBot="1" x14ac:dyDescent="0.3">
      <c r="A98" s="5">
        <v>97</v>
      </c>
      <c r="B98" s="6">
        <v>40548</v>
      </c>
      <c r="C98" s="5">
        <v>1</v>
      </c>
      <c r="D98" s="5">
        <v>0</v>
      </c>
      <c r="E98" s="5">
        <v>1</v>
      </c>
      <c r="F98" s="5">
        <v>5</v>
      </c>
      <c r="G98" s="7" t="b">
        <v>0</v>
      </c>
      <c r="H98" s="5">
        <v>3</v>
      </c>
      <c r="I98" s="5">
        <v>1</v>
      </c>
      <c r="J98" s="5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  <c r="Q98" t="s">
        <v>50</v>
      </c>
      <c r="R98" t="s">
        <v>22</v>
      </c>
      <c r="S98" s="8" t="str">
        <f t="shared" si="3"/>
        <v>Normal</v>
      </c>
      <c r="T98" s="8" t="str">
        <f t="shared" si="4"/>
        <v>Low</v>
      </c>
      <c r="U98" s="8" t="str">
        <f t="shared" si="5"/>
        <v>Night</v>
      </c>
      <c r="V98" s="8"/>
      <c r="W98" s="8"/>
    </row>
    <row r="99" spans="1:23" ht="15.75" thickBot="1" x14ac:dyDescent="0.3">
      <c r="A99" s="5">
        <v>98</v>
      </c>
      <c r="B99" s="6">
        <v>40548</v>
      </c>
      <c r="C99" s="5">
        <v>1</v>
      </c>
      <c r="D99" s="5">
        <v>0</v>
      </c>
      <c r="E99" s="5">
        <v>1</v>
      </c>
      <c r="F99" s="5">
        <v>6</v>
      </c>
      <c r="G99" s="7" t="b">
        <v>0</v>
      </c>
      <c r="H99" s="5">
        <v>3</v>
      </c>
      <c r="I99" s="5">
        <v>1</v>
      </c>
      <c r="J99" s="5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  <c r="Q99" t="s">
        <v>50</v>
      </c>
      <c r="R99" t="s">
        <v>22</v>
      </c>
      <c r="S99" s="8" t="str">
        <f t="shared" si="3"/>
        <v>Normal</v>
      </c>
      <c r="T99" s="8" t="str">
        <f t="shared" si="4"/>
        <v>Low</v>
      </c>
      <c r="U99" s="8" t="str">
        <f t="shared" si="5"/>
        <v>Morning</v>
      </c>
      <c r="V99" s="8"/>
      <c r="W99" s="8"/>
    </row>
    <row r="100" spans="1:23" ht="15.75" thickBot="1" x14ac:dyDescent="0.3">
      <c r="A100" s="5">
        <v>99</v>
      </c>
      <c r="B100" s="6">
        <v>40548</v>
      </c>
      <c r="C100" s="5">
        <v>1</v>
      </c>
      <c r="D100" s="5">
        <v>0</v>
      </c>
      <c r="E100" s="5">
        <v>1</v>
      </c>
      <c r="F100" s="5">
        <v>7</v>
      </c>
      <c r="G100" s="7" t="b">
        <v>0</v>
      </c>
      <c r="H100" s="5">
        <v>3</v>
      </c>
      <c r="I100" s="5">
        <v>1</v>
      </c>
      <c r="J100" s="5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  <c r="Q100" t="s">
        <v>50</v>
      </c>
      <c r="R100" t="s">
        <v>22</v>
      </c>
      <c r="S100" s="8" t="str">
        <f t="shared" si="3"/>
        <v>Rush Hour</v>
      </c>
      <c r="T100" s="8" t="str">
        <f t="shared" si="4"/>
        <v>Medium</v>
      </c>
      <c r="U100" s="8" t="str">
        <f t="shared" si="5"/>
        <v>Morning</v>
      </c>
      <c r="V100" s="8"/>
      <c r="W100" s="8"/>
    </row>
    <row r="101" spans="1:23" ht="15.75" thickBot="1" x14ac:dyDescent="0.3">
      <c r="A101" s="5">
        <v>100</v>
      </c>
      <c r="B101" s="6">
        <v>40548</v>
      </c>
      <c r="C101" s="5">
        <v>1</v>
      </c>
      <c r="D101" s="5">
        <v>0</v>
      </c>
      <c r="E101" s="5">
        <v>1</v>
      </c>
      <c r="F101" s="5">
        <v>8</v>
      </c>
      <c r="G101" s="7" t="b">
        <v>0</v>
      </c>
      <c r="H101" s="5">
        <v>3</v>
      </c>
      <c r="I101" s="5">
        <v>1</v>
      </c>
      <c r="J101" s="5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  <c r="Q101" t="s">
        <v>50</v>
      </c>
      <c r="R101" t="s">
        <v>22</v>
      </c>
      <c r="S101" s="8" t="str">
        <f t="shared" si="3"/>
        <v>Rush Hour</v>
      </c>
      <c r="T101" s="8" t="str">
        <f t="shared" si="4"/>
        <v>High</v>
      </c>
      <c r="U101" s="8" t="str">
        <f t="shared" si="5"/>
        <v>Morning</v>
      </c>
      <c r="V101" s="8"/>
      <c r="W101" s="8"/>
    </row>
    <row r="102" spans="1:23" ht="15.75" thickBot="1" x14ac:dyDescent="0.3">
      <c r="A102" s="5">
        <v>101</v>
      </c>
      <c r="B102" s="6">
        <v>40548</v>
      </c>
      <c r="C102" s="5">
        <v>1</v>
      </c>
      <c r="D102" s="5">
        <v>0</v>
      </c>
      <c r="E102" s="5">
        <v>1</v>
      </c>
      <c r="F102" s="5">
        <v>9</v>
      </c>
      <c r="G102" s="7" t="b">
        <v>0</v>
      </c>
      <c r="H102" s="5">
        <v>3</v>
      </c>
      <c r="I102" s="5">
        <v>1</v>
      </c>
      <c r="J102" s="5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  <c r="Q102" t="s">
        <v>50</v>
      </c>
      <c r="R102" t="s">
        <v>22</v>
      </c>
      <c r="S102" s="8" t="str">
        <f t="shared" si="3"/>
        <v>Rush Hour</v>
      </c>
      <c r="T102" s="8" t="str">
        <f t="shared" si="4"/>
        <v>Medium</v>
      </c>
      <c r="U102" s="8" t="str">
        <f t="shared" si="5"/>
        <v>Morning</v>
      </c>
      <c r="V102" s="8"/>
      <c r="W102" s="8"/>
    </row>
    <row r="103" spans="1:23" ht="15.75" thickBot="1" x14ac:dyDescent="0.3">
      <c r="A103" s="5">
        <v>102</v>
      </c>
      <c r="B103" s="6">
        <v>40548</v>
      </c>
      <c r="C103" s="5">
        <v>1</v>
      </c>
      <c r="D103" s="5">
        <v>0</v>
      </c>
      <c r="E103" s="5">
        <v>1</v>
      </c>
      <c r="F103" s="5">
        <v>10</v>
      </c>
      <c r="G103" s="7" t="b">
        <v>0</v>
      </c>
      <c r="H103" s="5">
        <v>3</v>
      </c>
      <c r="I103" s="5">
        <v>1</v>
      </c>
      <c r="J103" s="5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  <c r="Q103" t="s">
        <v>50</v>
      </c>
      <c r="R103" t="s">
        <v>22</v>
      </c>
      <c r="S103" s="8" t="str">
        <f t="shared" si="3"/>
        <v>Normal</v>
      </c>
      <c r="T103" s="8" t="str">
        <f t="shared" si="4"/>
        <v>Medium</v>
      </c>
      <c r="U103" s="8" t="str">
        <f t="shared" si="5"/>
        <v>Morning</v>
      </c>
      <c r="V103" s="8"/>
      <c r="W103" s="8"/>
    </row>
    <row r="104" spans="1:23" ht="15.75" thickBot="1" x14ac:dyDescent="0.3">
      <c r="A104" s="5">
        <v>103</v>
      </c>
      <c r="B104" s="6">
        <v>40548</v>
      </c>
      <c r="C104" s="5">
        <v>1</v>
      </c>
      <c r="D104" s="5">
        <v>0</v>
      </c>
      <c r="E104" s="5">
        <v>1</v>
      </c>
      <c r="F104" s="5">
        <v>11</v>
      </c>
      <c r="G104" s="7" t="b">
        <v>0</v>
      </c>
      <c r="H104" s="5">
        <v>3</v>
      </c>
      <c r="I104" s="5">
        <v>1</v>
      </c>
      <c r="J104" s="5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  <c r="Q104" t="s">
        <v>50</v>
      </c>
      <c r="R104" t="s">
        <v>22</v>
      </c>
      <c r="S104" s="8" t="str">
        <f t="shared" si="3"/>
        <v>Normal</v>
      </c>
      <c r="T104" s="8" t="str">
        <f t="shared" si="4"/>
        <v>Low</v>
      </c>
      <c r="U104" s="8" t="str">
        <f t="shared" si="5"/>
        <v>Morning</v>
      </c>
      <c r="V104" s="8"/>
      <c r="W104" s="8"/>
    </row>
    <row r="105" spans="1:23" ht="15.75" thickBot="1" x14ac:dyDescent="0.3">
      <c r="A105" s="5">
        <v>104</v>
      </c>
      <c r="B105" s="6">
        <v>40548</v>
      </c>
      <c r="C105" s="5">
        <v>1</v>
      </c>
      <c r="D105" s="5">
        <v>0</v>
      </c>
      <c r="E105" s="5">
        <v>1</v>
      </c>
      <c r="F105" s="5">
        <v>12</v>
      </c>
      <c r="G105" s="7" t="b">
        <v>0</v>
      </c>
      <c r="H105" s="5">
        <v>3</v>
      </c>
      <c r="I105" s="5">
        <v>1</v>
      </c>
      <c r="J105" s="5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  <c r="Q105" t="s">
        <v>50</v>
      </c>
      <c r="R105" t="s">
        <v>22</v>
      </c>
      <c r="S105" s="8" t="str">
        <f t="shared" si="3"/>
        <v>Normal</v>
      </c>
      <c r="T105" s="8" t="str">
        <f t="shared" si="4"/>
        <v>Medium</v>
      </c>
      <c r="U105" s="8" t="str">
        <f t="shared" si="5"/>
        <v>Afternoon</v>
      </c>
      <c r="V105" s="8"/>
      <c r="W105" s="8"/>
    </row>
    <row r="106" spans="1:23" ht="15.75" thickBot="1" x14ac:dyDescent="0.3">
      <c r="A106" s="5">
        <v>105</v>
      </c>
      <c r="B106" s="6">
        <v>40548</v>
      </c>
      <c r="C106" s="5">
        <v>1</v>
      </c>
      <c r="D106" s="5">
        <v>0</v>
      </c>
      <c r="E106" s="5">
        <v>1</v>
      </c>
      <c r="F106" s="5">
        <v>13</v>
      </c>
      <c r="G106" s="7" t="b">
        <v>0</v>
      </c>
      <c r="H106" s="5">
        <v>3</v>
      </c>
      <c r="I106" s="5">
        <v>1</v>
      </c>
      <c r="J106" s="5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  <c r="Q106" t="s">
        <v>50</v>
      </c>
      <c r="R106" t="s">
        <v>22</v>
      </c>
      <c r="S106" s="8" t="str">
        <f t="shared" si="3"/>
        <v>Normal</v>
      </c>
      <c r="T106" s="8" t="str">
        <f t="shared" si="4"/>
        <v>Medium</v>
      </c>
      <c r="U106" s="8" t="str">
        <f t="shared" si="5"/>
        <v>Afternoon</v>
      </c>
      <c r="V106" s="8"/>
      <c r="W106" s="8"/>
    </row>
    <row r="107" spans="1:23" ht="15.75" thickBot="1" x14ac:dyDescent="0.3">
      <c r="A107" s="5">
        <v>106</v>
      </c>
      <c r="B107" s="6">
        <v>40548</v>
      </c>
      <c r="C107" s="5">
        <v>1</v>
      </c>
      <c r="D107" s="5">
        <v>0</v>
      </c>
      <c r="E107" s="5">
        <v>1</v>
      </c>
      <c r="F107" s="5">
        <v>14</v>
      </c>
      <c r="G107" s="7" t="b">
        <v>0</v>
      </c>
      <c r="H107" s="5">
        <v>3</v>
      </c>
      <c r="I107" s="5">
        <v>1</v>
      </c>
      <c r="J107" s="5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  <c r="Q107" t="s">
        <v>50</v>
      </c>
      <c r="R107" t="s">
        <v>22</v>
      </c>
      <c r="S107" s="8" t="str">
        <f t="shared" si="3"/>
        <v>Normal</v>
      </c>
      <c r="T107" s="8" t="str">
        <f t="shared" si="4"/>
        <v>Medium</v>
      </c>
      <c r="U107" s="8" t="str">
        <f t="shared" si="5"/>
        <v>Afternoon</v>
      </c>
      <c r="V107" s="8"/>
      <c r="W107" s="8"/>
    </row>
    <row r="108" spans="1:23" ht="15.75" thickBot="1" x14ac:dyDescent="0.3">
      <c r="A108" s="5">
        <v>107</v>
      </c>
      <c r="B108" s="6">
        <v>40548</v>
      </c>
      <c r="C108" s="5">
        <v>1</v>
      </c>
      <c r="D108" s="5">
        <v>0</v>
      </c>
      <c r="E108" s="5">
        <v>1</v>
      </c>
      <c r="F108" s="5">
        <v>15</v>
      </c>
      <c r="G108" s="7" t="b">
        <v>0</v>
      </c>
      <c r="H108" s="5">
        <v>3</v>
      </c>
      <c r="I108" s="5">
        <v>1</v>
      </c>
      <c r="J108" s="5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  <c r="Q108" t="s">
        <v>50</v>
      </c>
      <c r="R108" t="s">
        <v>22</v>
      </c>
      <c r="S108" s="8" t="str">
        <f t="shared" si="3"/>
        <v>Normal</v>
      </c>
      <c r="T108" s="8" t="str">
        <f t="shared" si="4"/>
        <v>Medium</v>
      </c>
      <c r="U108" s="8" t="str">
        <f t="shared" si="5"/>
        <v>Afternoon</v>
      </c>
      <c r="V108" s="8"/>
      <c r="W108" s="8"/>
    </row>
    <row r="109" spans="1:23" ht="15.75" thickBot="1" x14ac:dyDescent="0.3">
      <c r="A109" s="5">
        <v>108</v>
      </c>
      <c r="B109" s="6">
        <v>40548</v>
      </c>
      <c r="C109" s="5">
        <v>1</v>
      </c>
      <c r="D109" s="5">
        <v>0</v>
      </c>
      <c r="E109" s="5">
        <v>1</v>
      </c>
      <c r="F109" s="5">
        <v>16</v>
      </c>
      <c r="G109" s="7" t="b">
        <v>0</v>
      </c>
      <c r="H109" s="5">
        <v>3</v>
      </c>
      <c r="I109" s="5">
        <v>1</v>
      </c>
      <c r="J109" s="5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  <c r="Q109" t="s">
        <v>50</v>
      </c>
      <c r="R109" t="s">
        <v>22</v>
      </c>
      <c r="S109" s="8" t="str">
        <f t="shared" si="3"/>
        <v>Normal</v>
      </c>
      <c r="T109" s="8" t="str">
        <f t="shared" si="4"/>
        <v>Medium</v>
      </c>
      <c r="U109" s="8" t="str">
        <f t="shared" si="5"/>
        <v>Afternoon</v>
      </c>
      <c r="V109" s="8"/>
      <c r="W109" s="8"/>
    </row>
    <row r="110" spans="1:23" ht="15.75" thickBot="1" x14ac:dyDescent="0.3">
      <c r="A110" s="5">
        <v>109</v>
      </c>
      <c r="B110" s="6">
        <v>40548</v>
      </c>
      <c r="C110" s="5">
        <v>1</v>
      </c>
      <c r="D110" s="5">
        <v>0</v>
      </c>
      <c r="E110" s="5">
        <v>1</v>
      </c>
      <c r="F110" s="5">
        <v>17</v>
      </c>
      <c r="G110" s="7" t="b">
        <v>0</v>
      </c>
      <c r="H110" s="5">
        <v>3</v>
      </c>
      <c r="I110" s="5">
        <v>1</v>
      </c>
      <c r="J110" s="5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  <c r="Q110" t="s">
        <v>50</v>
      </c>
      <c r="R110" t="s">
        <v>22</v>
      </c>
      <c r="S110" s="8" t="str">
        <f t="shared" si="3"/>
        <v>Rush Hour</v>
      </c>
      <c r="T110" s="8" t="str">
        <f t="shared" si="4"/>
        <v>High</v>
      </c>
      <c r="U110" s="8" t="str">
        <f t="shared" si="5"/>
        <v>Afternoon</v>
      </c>
      <c r="V110" s="8"/>
      <c r="W110" s="8"/>
    </row>
    <row r="111" spans="1:23" ht="15.75" thickBot="1" x14ac:dyDescent="0.3">
      <c r="A111" s="5">
        <v>110</v>
      </c>
      <c r="B111" s="6">
        <v>40548</v>
      </c>
      <c r="C111" s="5">
        <v>1</v>
      </c>
      <c r="D111" s="5">
        <v>0</v>
      </c>
      <c r="E111" s="5">
        <v>1</v>
      </c>
      <c r="F111" s="5">
        <v>18</v>
      </c>
      <c r="G111" s="7" t="b">
        <v>0</v>
      </c>
      <c r="H111" s="5">
        <v>3</v>
      </c>
      <c r="I111" s="5">
        <v>1</v>
      </c>
      <c r="J111" s="5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  <c r="Q111" t="s">
        <v>50</v>
      </c>
      <c r="R111" t="s">
        <v>22</v>
      </c>
      <c r="S111" s="8" t="str">
        <f t="shared" si="3"/>
        <v>Rush Hour</v>
      </c>
      <c r="T111" s="8" t="str">
        <f t="shared" si="4"/>
        <v>High</v>
      </c>
      <c r="U111" s="8" t="str">
        <f t="shared" si="5"/>
        <v>Evening</v>
      </c>
      <c r="V111" s="8"/>
      <c r="W111" s="8"/>
    </row>
    <row r="112" spans="1:23" ht="15.75" thickBot="1" x14ac:dyDescent="0.3">
      <c r="A112" s="5">
        <v>111</v>
      </c>
      <c r="B112" s="6">
        <v>40548</v>
      </c>
      <c r="C112" s="5">
        <v>1</v>
      </c>
      <c r="D112" s="5">
        <v>0</v>
      </c>
      <c r="E112" s="5">
        <v>1</v>
      </c>
      <c r="F112" s="5">
        <v>19</v>
      </c>
      <c r="G112" s="7" t="b">
        <v>0</v>
      </c>
      <c r="H112" s="5">
        <v>3</v>
      </c>
      <c r="I112" s="5">
        <v>1</v>
      </c>
      <c r="J112" s="5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  <c r="Q112" t="s">
        <v>50</v>
      </c>
      <c r="R112" t="s">
        <v>22</v>
      </c>
      <c r="S112" s="8" t="str">
        <f t="shared" si="3"/>
        <v>Rush Hour</v>
      </c>
      <c r="T112" s="8" t="str">
        <f t="shared" si="4"/>
        <v>Medium</v>
      </c>
      <c r="U112" s="8" t="str">
        <f t="shared" si="5"/>
        <v>Evening</v>
      </c>
      <c r="V112" s="8"/>
      <c r="W112" s="8"/>
    </row>
    <row r="113" spans="1:23" ht="15.75" thickBot="1" x14ac:dyDescent="0.3">
      <c r="A113" s="5">
        <v>112</v>
      </c>
      <c r="B113" s="6">
        <v>40548</v>
      </c>
      <c r="C113" s="5">
        <v>1</v>
      </c>
      <c r="D113" s="5">
        <v>0</v>
      </c>
      <c r="E113" s="5">
        <v>1</v>
      </c>
      <c r="F113" s="5">
        <v>20</v>
      </c>
      <c r="G113" s="7" t="b">
        <v>0</v>
      </c>
      <c r="H113" s="5">
        <v>3</v>
      </c>
      <c r="I113" s="5">
        <v>1</v>
      </c>
      <c r="J113" s="5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  <c r="Q113" t="s">
        <v>50</v>
      </c>
      <c r="R113" t="s">
        <v>22</v>
      </c>
      <c r="S113" s="8" t="str">
        <f t="shared" si="3"/>
        <v>Normal</v>
      </c>
      <c r="T113" s="8" t="str">
        <f t="shared" si="4"/>
        <v>Medium</v>
      </c>
      <c r="U113" s="8" t="str">
        <f t="shared" si="5"/>
        <v>Evening</v>
      </c>
      <c r="V113" s="8"/>
      <c r="W113" s="8"/>
    </row>
    <row r="114" spans="1:23" ht="15.75" thickBot="1" x14ac:dyDescent="0.3">
      <c r="A114" s="5">
        <v>113</v>
      </c>
      <c r="B114" s="6">
        <v>40548</v>
      </c>
      <c r="C114" s="5">
        <v>1</v>
      </c>
      <c r="D114" s="5">
        <v>0</v>
      </c>
      <c r="E114" s="5">
        <v>1</v>
      </c>
      <c r="F114" s="5">
        <v>21</v>
      </c>
      <c r="G114" s="7" t="b">
        <v>0</v>
      </c>
      <c r="H114" s="5">
        <v>3</v>
      </c>
      <c r="I114" s="5">
        <v>1</v>
      </c>
      <c r="J114" s="5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  <c r="Q114" t="s">
        <v>50</v>
      </c>
      <c r="R114" t="s">
        <v>22</v>
      </c>
      <c r="S114" s="8" t="str">
        <f t="shared" si="3"/>
        <v>Normal</v>
      </c>
      <c r="T114" s="8" t="str">
        <f t="shared" si="4"/>
        <v>Low</v>
      </c>
      <c r="U114" s="8" t="str">
        <f t="shared" si="5"/>
        <v>Evening</v>
      </c>
      <c r="V114" s="8"/>
      <c r="W114" s="8"/>
    </row>
    <row r="115" spans="1:23" ht="15.75" thickBot="1" x14ac:dyDescent="0.3">
      <c r="A115" s="5">
        <v>114</v>
      </c>
      <c r="B115" s="6">
        <v>40548</v>
      </c>
      <c r="C115" s="5">
        <v>1</v>
      </c>
      <c r="D115" s="5">
        <v>0</v>
      </c>
      <c r="E115" s="5">
        <v>1</v>
      </c>
      <c r="F115" s="5">
        <v>22</v>
      </c>
      <c r="G115" s="7" t="b">
        <v>0</v>
      </c>
      <c r="H115" s="5">
        <v>3</v>
      </c>
      <c r="I115" s="5">
        <v>1</v>
      </c>
      <c r="J115" s="5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  <c r="Q115" t="s">
        <v>50</v>
      </c>
      <c r="R115" t="s">
        <v>22</v>
      </c>
      <c r="S115" s="8" t="str">
        <f t="shared" si="3"/>
        <v>Normal</v>
      </c>
      <c r="T115" s="8" t="str">
        <f t="shared" si="4"/>
        <v>Low</v>
      </c>
      <c r="U115" s="8" t="str">
        <f t="shared" si="5"/>
        <v>Evening</v>
      </c>
      <c r="V115" s="8"/>
      <c r="W115" s="8"/>
    </row>
    <row r="116" spans="1:23" ht="15.75" thickBot="1" x14ac:dyDescent="0.3">
      <c r="A116" s="5">
        <v>115</v>
      </c>
      <c r="B116" s="6">
        <v>40548</v>
      </c>
      <c r="C116" s="5">
        <v>1</v>
      </c>
      <c r="D116" s="5">
        <v>0</v>
      </c>
      <c r="E116" s="5">
        <v>1</v>
      </c>
      <c r="F116" s="5">
        <v>23</v>
      </c>
      <c r="G116" s="7" t="b">
        <v>0</v>
      </c>
      <c r="H116" s="5">
        <v>3</v>
      </c>
      <c r="I116" s="5">
        <v>1</v>
      </c>
      <c r="J116" s="5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  <c r="Q116" t="s">
        <v>50</v>
      </c>
      <c r="R116" t="s">
        <v>22</v>
      </c>
      <c r="S116" s="8" t="str">
        <f t="shared" si="3"/>
        <v>Normal</v>
      </c>
      <c r="T116" s="8" t="str">
        <f t="shared" si="4"/>
        <v>Low</v>
      </c>
      <c r="U116" s="8" t="str">
        <f t="shared" si="5"/>
        <v>Evening</v>
      </c>
      <c r="V116" s="8"/>
      <c r="W116" s="8"/>
    </row>
    <row r="117" spans="1:23" ht="15.75" thickBot="1" x14ac:dyDescent="0.3">
      <c r="A117" s="5">
        <v>116</v>
      </c>
      <c r="B117" s="6">
        <v>40549</v>
      </c>
      <c r="C117" s="5">
        <v>1</v>
      </c>
      <c r="D117" s="5">
        <v>0</v>
      </c>
      <c r="E117" s="5">
        <v>1</v>
      </c>
      <c r="F117" s="5">
        <v>0</v>
      </c>
      <c r="G117" s="7" t="b">
        <v>0</v>
      </c>
      <c r="H117" s="5">
        <v>4</v>
      </c>
      <c r="I117" s="5">
        <v>1</v>
      </c>
      <c r="J117" s="5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  <c r="Q117" t="s">
        <v>51</v>
      </c>
      <c r="R117" t="s">
        <v>22</v>
      </c>
      <c r="S117" s="8" t="str">
        <f t="shared" si="3"/>
        <v>Normal</v>
      </c>
      <c r="T117" s="8" t="str">
        <f t="shared" si="4"/>
        <v>Low</v>
      </c>
      <c r="U117" s="8" t="str">
        <f t="shared" si="5"/>
        <v>Night</v>
      </c>
      <c r="V117" s="8"/>
      <c r="W117" s="8"/>
    </row>
    <row r="118" spans="1:23" ht="15.75" thickBot="1" x14ac:dyDescent="0.3">
      <c r="A118" s="5">
        <v>117</v>
      </c>
      <c r="B118" s="6">
        <v>40549</v>
      </c>
      <c r="C118" s="5">
        <v>1</v>
      </c>
      <c r="D118" s="5">
        <v>0</v>
      </c>
      <c r="E118" s="5">
        <v>1</v>
      </c>
      <c r="F118" s="5">
        <v>1</v>
      </c>
      <c r="G118" s="7" t="b">
        <v>0</v>
      </c>
      <c r="H118" s="5">
        <v>4</v>
      </c>
      <c r="I118" s="5">
        <v>1</v>
      </c>
      <c r="J118" s="5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  <c r="Q118" t="s">
        <v>51</v>
      </c>
      <c r="R118" t="s">
        <v>22</v>
      </c>
      <c r="S118" s="8" t="str">
        <f t="shared" si="3"/>
        <v>Normal</v>
      </c>
      <c r="T118" s="8" t="str">
        <f t="shared" si="4"/>
        <v>Low</v>
      </c>
      <c r="U118" s="8" t="str">
        <f t="shared" si="5"/>
        <v>Night</v>
      </c>
      <c r="V118" s="8"/>
      <c r="W118" s="8"/>
    </row>
    <row r="119" spans="1:23" ht="15.75" thickBot="1" x14ac:dyDescent="0.3">
      <c r="A119" s="5">
        <v>118</v>
      </c>
      <c r="B119" s="6">
        <v>40549</v>
      </c>
      <c r="C119" s="5">
        <v>1</v>
      </c>
      <c r="D119" s="5">
        <v>0</v>
      </c>
      <c r="E119" s="5">
        <v>1</v>
      </c>
      <c r="F119" s="5">
        <v>2</v>
      </c>
      <c r="G119" s="7" t="b">
        <v>0</v>
      </c>
      <c r="H119" s="5">
        <v>4</v>
      </c>
      <c r="I119" s="5">
        <v>1</v>
      </c>
      <c r="J119" s="5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  <c r="Q119" t="s">
        <v>51</v>
      </c>
      <c r="R119" t="s">
        <v>22</v>
      </c>
      <c r="S119" s="8" t="str">
        <f t="shared" si="3"/>
        <v>Normal</v>
      </c>
      <c r="T119" s="8" t="str">
        <f t="shared" si="4"/>
        <v>Low</v>
      </c>
      <c r="U119" s="8" t="str">
        <f t="shared" si="5"/>
        <v>Night</v>
      </c>
      <c r="V119" s="8"/>
      <c r="W119" s="8"/>
    </row>
    <row r="120" spans="1:23" ht="15.75" thickBot="1" x14ac:dyDescent="0.3">
      <c r="A120" s="5">
        <v>119</v>
      </c>
      <c r="B120" s="6">
        <v>40549</v>
      </c>
      <c r="C120" s="5">
        <v>1</v>
      </c>
      <c r="D120" s="5">
        <v>0</v>
      </c>
      <c r="E120" s="5">
        <v>1</v>
      </c>
      <c r="F120" s="5">
        <v>4</v>
      </c>
      <c r="G120" s="7" t="b">
        <v>0</v>
      </c>
      <c r="H120" s="5">
        <v>4</v>
      </c>
      <c r="I120" s="5">
        <v>2</v>
      </c>
      <c r="J120" s="5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  <c r="Q120" t="s">
        <v>51</v>
      </c>
      <c r="R120" t="s">
        <v>26</v>
      </c>
      <c r="S120" s="8" t="str">
        <f t="shared" si="3"/>
        <v>Normal</v>
      </c>
      <c r="T120" s="8" t="str">
        <f t="shared" si="4"/>
        <v>Low</v>
      </c>
      <c r="U120" s="8" t="str">
        <f t="shared" si="5"/>
        <v>Night</v>
      </c>
      <c r="V120" s="8"/>
      <c r="W120" s="8"/>
    </row>
    <row r="121" spans="1:23" ht="15.75" thickBot="1" x14ac:dyDescent="0.3">
      <c r="A121" s="5">
        <v>120</v>
      </c>
      <c r="B121" s="6">
        <v>40549</v>
      </c>
      <c r="C121" s="5">
        <v>1</v>
      </c>
      <c r="D121" s="5">
        <v>0</v>
      </c>
      <c r="E121" s="5">
        <v>1</v>
      </c>
      <c r="F121" s="5">
        <v>5</v>
      </c>
      <c r="G121" s="7" t="b">
        <v>0</v>
      </c>
      <c r="H121" s="5">
        <v>4</v>
      </c>
      <c r="I121" s="5">
        <v>2</v>
      </c>
      <c r="J121" s="5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  <c r="Q121" t="s">
        <v>51</v>
      </c>
      <c r="R121" t="s">
        <v>26</v>
      </c>
      <c r="S121" s="8" t="str">
        <f t="shared" si="3"/>
        <v>Normal</v>
      </c>
      <c r="T121" s="8" t="str">
        <f t="shared" si="4"/>
        <v>Low</v>
      </c>
      <c r="U121" s="8" t="str">
        <f t="shared" si="5"/>
        <v>Night</v>
      </c>
      <c r="V121" s="8"/>
      <c r="W121" s="8"/>
    </row>
    <row r="122" spans="1:23" ht="15.75" thickBot="1" x14ac:dyDescent="0.3">
      <c r="A122" s="5">
        <v>121</v>
      </c>
      <c r="B122" s="6">
        <v>40549</v>
      </c>
      <c r="C122" s="5">
        <v>1</v>
      </c>
      <c r="D122" s="5">
        <v>0</v>
      </c>
      <c r="E122" s="5">
        <v>1</v>
      </c>
      <c r="F122" s="5">
        <v>6</v>
      </c>
      <c r="G122" s="7" t="b">
        <v>0</v>
      </c>
      <c r="H122" s="5">
        <v>4</v>
      </c>
      <c r="I122" s="5">
        <v>2</v>
      </c>
      <c r="J122" s="5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  <c r="Q122" t="s">
        <v>51</v>
      </c>
      <c r="R122" t="s">
        <v>26</v>
      </c>
      <c r="S122" s="8" t="str">
        <f t="shared" si="3"/>
        <v>Normal</v>
      </c>
      <c r="T122" s="8" t="str">
        <f t="shared" si="4"/>
        <v>Low</v>
      </c>
      <c r="U122" s="8" t="str">
        <f t="shared" si="5"/>
        <v>Morning</v>
      </c>
      <c r="V122" s="8"/>
      <c r="W122" s="8"/>
    </row>
    <row r="123" spans="1:23" ht="15.75" thickBot="1" x14ac:dyDescent="0.3">
      <c r="A123" s="5">
        <v>122</v>
      </c>
      <c r="B123" s="6">
        <v>40549</v>
      </c>
      <c r="C123" s="5">
        <v>1</v>
      </c>
      <c r="D123" s="5">
        <v>0</v>
      </c>
      <c r="E123" s="5">
        <v>1</v>
      </c>
      <c r="F123" s="5">
        <v>7</v>
      </c>
      <c r="G123" s="7" t="b">
        <v>0</v>
      </c>
      <c r="H123" s="5">
        <v>4</v>
      </c>
      <c r="I123" s="5">
        <v>2</v>
      </c>
      <c r="J123" s="5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  <c r="Q123" t="s">
        <v>51</v>
      </c>
      <c r="R123" t="s">
        <v>26</v>
      </c>
      <c r="S123" s="8" t="str">
        <f t="shared" si="3"/>
        <v>Rush Hour</v>
      </c>
      <c r="T123" s="8" t="str">
        <f t="shared" si="4"/>
        <v>Medium</v>
      </c>
      <c r="U123" s="8" t="str">
        <f t="shared" si="5"/>
        <v>Morning</v>
      </c>
      <c r="V123" s="8"/>
      <c r="W123" s="8"/>
    </row>
    <row r="124" spans="1:23" ht="15.75" thickBot="1" x14ac:dyDescent="0.3">
      <c r="A124" s="5">
        <v>123</v>
      </c>
      <c r="B124" s="6">
        <v>40549</v>
      </c>
      <c r="C124" s="5">
        <v>1</v>
      </c>
      <c r="D124" s="5">
        <v>0</v>
      </c>
      <c r="E124" s="5">
        <v>1</v>
      </c>
      <c r="F124" s="5">
        <v>8</v>
      </c>
      <c r="G124" s="7" t="b">
        <v>0</v>
      </c>
      <c r="H124" s="5">
        <v>4</v>
      </c>
      <c r="I124" s="5">
        <v>1</v>
      </c>
      <c r="J124" s="5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  <c r="Q124" t="s">
        <v>51</v>
      </c>
      <c r="R124" t="s">
        <v>22</v>
      </c>
      <c r="S124" s="8" t="str">
        <f t="shared" si="3"/>
        <v>Rush Hour</v>
      </c>
      <c r="T124" s="8" t="str">
        <f t="shared" si="4"/>
        <v>High</v>
      </c>
      <c r="U124" s="8" t="str">
        <f t="shared" si="5"/>
        <v>Morning</v>
      </c>
      <c r="V124" s="8"/>
      <c r="W124" s="8"/>
    </row>
    <row r="125" spans="1:23" ht="15.75" thickBot="1" x14ac:dyDescent="0.3">
      <c r="A125" s="5">
        <v>124</v>
      </c>
      <c r="B125" s="6">
        <v>40549</v>
      </c>
      <c r="C125" s="5">
        <v>1</v>
      </c>
      <c r="D125" s="5">
        <v>0</v>
      </c>
      <c r="E125" s="5">
        <v>1</v>
      </c>
      <c r="F125" s="5">
        <v>9</v>
      </c>
      <c r="G125" s="7" t="b">
        <v>0</v>
      </c>
      <c r="H125" s="5">
        <v>4</v>
      </c>
      <c r="I125" s="5">
        <v>2</v>
      </c>
      <c r="J125" s="5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  <c r="Q125" t="s">
        <v>51</v>
      </c>
      <c r="R125" t="s">
        <v>26</v>
      </c>
      <c r="S125" s="8" t="str">
        <f t="shared" si="3"/>
        <v>Rush Hour</v>
      </c>
      <c r="T125" s="8" t="str">
        <f t="shared" si="4"/>
        <v>Medium</v>
      </c>
      <c r="U125" s="8" t="str">
        <f t="shared" si="5"/>
        <v>Morning</v>
      </c>
      <c r="V125" s="8"/>
      <c r="W125" s="8"/>
    </row>
    <row r="126" spans="1:23" ht="15.75" thickBot="1" x14ac:dyDescent="0.3">
      <c r="A126" s="5">
        <v>125</v>
      </c>
      <c r="B126" s="6">
        <v>40549</v>
      </c>
      <c r="C126" s="5">
        <v>1</v>
      </c>
      <c r="D126" s="5">
        <v>0</v>
      </c>
      <c r="E126" s="5">
        <v>1</v>
      </c>
      <c r="F126" s="5">
        <v>10</v>
      </c>
      <c r="G126" s="7" t="b">
        <v>0</v>
      </c>
      <c r="H126" s="5">
        <v>4</v>
      </c>
      <c r="I126" s="5">
        <v>1</v>
      </c>
      <c r="J126" s="5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  <c r="Q126" t="s">
        <v>51</v>
      </c>
      <c r="R126" t="s">
        <v>22</v>
      </c>
      <c r="S126" s="8" t="str">
        <f t="shared" si="3"/>
        <v>Normal</v>
      </c>
      <c r="T126" s="8" t="str">
        <f t="shared" si="4"/>
        <v>Low</v>
      </c>
      <c r="U126" s="8" t="str">
        <f t="shared" si="5"/>
        <v>Morning</v>
      </c>
      <c r="V126" s="8"/>
      <c r="W126" s="8"/>
    </row>
    <row r="127" spans="1:23" ht="15.75" thickBot="1" x14ac:dyDescent="0.3">
      <c r="A127" s="5">
        <v>126</v>
      </c>
      <c r="B127" s="6">
        <v>40549</v>
      </c>
      <c r="C127" s="5">
        <v>1</v>
      </c>
      <c r="D127" s="5">
        <v>0</v>
      </c>
      <c r="E127" s="5">
        <v>1</v>
      </c>
      <c r="F127" s="5">
        <v>11</v>
      </c>
      <c r="G127" s="7" t="b">
        <v>0</v>
      </c>
      <c r="H127" s="5">
        <v>4</v>
      </c>
      <c r="I127" s="5">
        <v>1</v>
      </c>
      <c r="J127" s="5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  <c r="Q127" t="s">
        <v>51</v>
      </c>
      <c r="R127" t="s">
        <v>22</v>
      </c>
      <c r="S127" s="8" t="str">
        <f t="shared" si="3"/>
        <v>Normal</v>
      </c>
      <c r="T127" s="8" t="str">
        <f t="shared" si="4"/>
        <v>Medium</v>
      </c>
      <c r="U127" s="8" t="str">
        <f t="shared" si="5"/>
        <v>Morning</v>
      </c>
      <c r="V127" s="8"/>
      <c r="W127" s="8"/>
    </row>
    <row r="128" spans="1:23" ht="15.75" thickBot="1" x14ac:dyDescent="0.3">
      <c r="A128" s="5">
        <v>127</v>
      </c>
      <c r="B128" s="6">
        <v>40549</v>
      </c>
      <c r="C128" s="5">
        <v>1</v>
      </c>
      <c r="D128" s="5">
        <v>0</v>
      </c>
      <c r="E128" s="5">
        <v>1</v>
      </c>
      <c r="F128" s="5">
        <v>12</v>
      </c>
      <c r="G128" s="7" t="b">
        <v>0</v>
      </c>
      <c r="H128" s="5">
        <v>4</v>
      </c>
      <c r="I128" s="5">
        <v>1</v>
      </c>
      <c r="J128" s="5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  <c r="Q128" t="s">
        <v>51</v>
      </c>
      <c r="R128" t="s">
        <v>22</v>
      </c>
      <c r="S128" s="8" t="str">
        <f t="shared" si="3"/>
        <v>Normal</v>
      </c>
      <c r="T128" s="8" t="str">
        <f t="shared" si="4"/>
        <v>Medium</v>
      </c>
      <c r="U128" s="8" t="str">
        <f t="shared" si="5"/>
        <v>Afternoon</v>
      </c>
      <c r="V128" s="8"/>
      <c r="W128" s="8"/>
    </row>
    <row r="129" spans="1:23" ht="15.75" thickBot="1" x14ac:dyDescent="0.3">
      <c r="A129" s="5">
        <v>128</v>
      </c>
      <c r="B129" s="6">
        <v>40549</v>
      </c>
      <c r="C129" s="5">
        <v>1</v>
      </c>
      <c r="D129" s="5">
        <v>0</v>
      </c>
      <c r="E129" s="5">
        <v>1</v>
      </c>
      <c r="F129" s="5">
        <v>13</v>
      </c>
      <c r="G129" s="7" t="b">
        <v>0</v>
      </c>
      <c r="H129" s="5">
        <v>4</v>
      </c>
      <c r="I129" s="5">
        <v>1</v>
      </c>
      <c r="J129" s="5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  <c r="Q129" t="s">
        <v>51</v>
      </c>
      <c r="R129" t="s">
        <v>22</v>
      </c>
      <c r="S129" s="8" t="str">
        <f t="shared" si="3"/>
        <v>Normal</v>
      </c>
      <c r="T129" s="8" t="str">
        <f t="shared" si="4"/>
        <v>Medium</v>
      </c>
      <c r="U129" s="8" t="str">
        <f t="shared" si="5"/>
        <v>Afternoon</v>
      </c>
      <c r="V129" s="8"/>
      <c r="W129" s="8"/>
    </row>
    <row r="130" spans="1:23" ht="15.75" thickBot="1" x14ac:dyDescent="0.3">
      <c r="A130" s="5">
        <v>129</v>
      </c>
      <c r="B130" s="6">
        <v>40549</v>
      </c>
      <c r="C130" s="5">
        <v>1</v>
      </c>
      <c r="D130" s="5">
        <v>0</v>
      </c>
      <c r="E130" s="5">
        <v>1</v>
      </c>
      <c r="F130" s="5">
        <v>14</v>
      </c>
      <c r="G130" s="7" t="b">
        <v>0</v>
      </c>
      <c r="H130" s="5">
        <v>4</v>
      </c>
      <c r="I130" s="5">
        <v>1</v>
      </c>
      <c r="J130" s="5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  <c r="Q130" t="s">
        <v>51</v>
      </c>
      <c r="R130" t="s">
        <v>22</v>
      </c>
      <c r="S130" s="8" t="str">
        <f t="shared" si="3"/>
        <v>Normal</v>
      </c>
      <c r="T130" s="8" t="str">
        <f t="shared" si="4"/>
        <v>Medium</v>
      </c>
      <c r="U130" s="8" t="str">
        <f t="shared" si="5"/>
        <v>Afternoon</v>
      </c>
      <c r="V130" s="8"/>
      <c r="W130" s="8"/>
    </row>
    <row r="131" spans="1:23" ht="15.75" thickBot="1" x14ac:dyDescent="0.3">
      <c r="A131" s="5">
        <v>130</v>
      </c>
      <c r="B131" s="6">
        <v>40549</v>
      </c>
      <c r="C131" s="5">
        <v>1</v>
      </c>
      <c r="D131" s="5">
        <v>0</v>
      </c>
      <c r="E131" s="5">
        <v>1</v>
      </c>
      <c r="F131" s="5">
        <v>15</v>
      </c>
      <c r="G131" s="7" t="b">
        <v>0</v>
      </c>
      <c r="H131" s="5">
        <v>4</v>
      </c>
      <c r="I131" s="5">
        <v>1</v>
      </c>
      <c r="J131" s="5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  <c r="Q131" t="s">
        <v>51</v>
      </c>
      <c r="R131" t="s">
        <v>22</v>
      </c>
      <c r="S131" s="8" t="str">
        <f t="shared" ref="S131:S194" si="6">IF(OR(AND(F131&gt;=7,F131&lt;=9),AND(F131&gt;=17,F131&lt;=19)),"Rush Hour","Normal")</f>
        <v>Normal</v>
      </c>
      <c r="T131" s="8" t="str">
        <f t="shared" ref="T131:T194" si="7">IF(P131&gt;150,"High",IF(P131&gt;50,"Medium","Low"))</f>
        <v>Medium</v>
      </c>
      <c r="U131" s="8" t="str">
        <f t="shared" ref="U131:U194" si="8">IF(F131&lt;6,"Night", IF(F131&lt;12,"Morning", IF(F131&lt;18,"Afternoon","Evening")))</f>
        <v>Afternoon</v>
      </c>
      <c r="V131" s="8"/>
      <c r="W131" s="8"/>
    </row>
    <row r="132" spans="1:23" ht="15.75" thickBot="1" x14ac:dyDescent="0.3">
      <c r="A132" s="5">
        <v>131</v>
      </c>
      <c r="B132" s="6">
        <v>40549</v>
      </c>
      <c r="C132" s="5">
        <v>1</v>
      </c>
      <c r="D132" s="5">
        <v>0</v>
      </c>
      <c r="E132" s="5">
        <v>1</v>
      </c>
      <c r="F132" s="5">
        <v>16</v>
      </c>
      <c r="G132" s="7" t="b">
        <v>0</v>
      </c>
      <c r="H132" s="5">
        <v>4</v>
      </c>
      <c r="I132" s="5">
        <v>1</v>
      </c>
      <c r="J132" s="5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  <c r="Q132" t="s">
        <v>51</v>
      </c>
      <c r="R132" t="s">
        <v>22</v>
      </c>
      <c r="S132" s="8" t="str">
        <f t="shared" si="6"/>
        <v>Normal</v>
      </c>
      <c r="T132" s="8" t="str">
        <f t="shared" si="7"/>
        <v>Medium</v>
      </c>
      <c r="U132" s="8" t="str">
        <f t="shared" si="8"/>
        <v>Afternoon</v>
      </c>
      <c r="V132" s="8"/>
      <c r="W132" s="8"/>
    </row>
    <row r="133" spans="1:23" ht="15.75" thickBot="1" x14ac:dyDescent="0.3">
      <c r="A133" s="5">
        <v>132</v>
      </c>
      <c r="B133" s="6">
        <v>40549</v>
      </c>
      <c r="C133" s="5">
        <v>1</v>
      </c>
      <c r="D133" s="5">
        <v>0</v>
      </c>
      <c r="E133" s="5">
        <v>1</v>
      </c>
      <c r="F133" s="5">
        <v>17</v>
      </c>
      <c r="G133" s="7" t="b">
        <v>0</v>
      </c>
      <c r="H133" s="5">
        <v>4</v>
      </c>
      <c r="I133" s="5">
        <v>1</v>
      </c>
      <c r="J133" s="5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  <c r="Q133" t="s">
        <v>51</v>
      </c>
      <c r="R133" t="s">
        <v>22</v>
      </c>
      <c r="S133" s="8" t="str">
        <f t="shared" si="6"/>
        <v>Rush Hour</v>
      </c>
      <c r="T133" s="8" t="str">
        <f t="shared" si="7"/>
        <v>High</v>
      </c>
      <c r="U133" s="8" t="str">
        <f t="shared" si="8"/>
        <v>Afternoon</v>
      </c>
      <c r="V133" s="8"/>
      <c r="W133" s="8"/>
    </row>
    <row r="134" spans="1:23" ht="15.75" thickBot="1" x14ac:dyDescent="0.3">
      <c r="A134" s="5">
        <v>133</v>
      </c>
      <c r="B134" s="6">
        <v>40549</v>
      </c>
      <c r="C134" s="5">
        <v>1</v>
      </c>
      <c r="D134" s="5">
        <v>0</v>
      </c>
      <c r="E134" s="5">
        <v>1</v>
      </c>
      <c r="F134" s="5">
        <v>18</v>
      </c>
      <c r="G134" s="7" t="b">
        <v>0</v>
      </c>
      <c r="H134" s="5">
        <v>4</v>
      </c>
      <c r="I134" s="5">
        <v>1</v>
      </c>
      <c r="J134" s="5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  <c r="Q134" t="s">
        <v>51</v>
      </c>
      <c r="R134" t="s">
        <v>22</v>
      </c>
      <c r="S134" s="8" t="str">
        <f t="shared" si="6"/>
        <v>Rush Hour</v>
      </c>
      <c r="T134" s="8" t="str">
        <f t="shared" si="7"/>
        <v>High</v>
      </c>
      <c r="U134" s="8" t="str">
        <f t="shared" si="8"/>
        <v>Evening</v>
      </c>
      <c r="V134" s="8"/>
      <c r="W134" s="8"/>
    </row>
    <row r="135" spans="1:23" ht="15.75" thickBot="1" x14ac:dyDescent="0.3">
      <c r="A135" s="5">
        <v>134</v>
      </c>
      <c r="B135" s="6">
        <v>40549</v>
      </c>
      <c r="C135" s="5">
        <v>1</v>
      </c>
      <c r="D135" s="5">
        <v>0</v>
      </c>
      <c r="E135" s="5">
        <v>1</v>
      </c>
      <c r="F135" s="5">
        <v>19</v>
      </c>
      <c r="G135" s="7" t="b">
        <v>0</v>
      </c>
      <c r="H135" s="5">
        <v>4</v>
      </c>
      <c r="I135" s="5">
        <v>1</v>
      </c>
      <c r="J135" s="5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  <c r="Q135" t="s">
        <v>51</v>
      </c>
      <c r="R135" t="s">
        <v>22</v>
      </c>
      <c r="S135" s="8" t="str">
        <f t="shared" si="6"/>
        <v>Rush Hour</v>
      </c>
      <c r="T135" s="8" t="str">
        <f t="shared" si="7"/>
        <v>Medium</v>
      </c>
      <c r="U135" s="8" t="str">
        <f t="shared" si="8"/>
        <v>Evening</v>
      </c>
      <c r="V135" s="8"/>
      <c r="W135" s="8"/>
    </row>
    <row r="136" spans="1:23" ht="15.75" thickBot="1" x14ac:dyDescent="0.3">
      <c r="A136" s="5">
        <v>135</v>
      </c>
      <c r="B136" s="6">
        <v>40549</v>
      </c>
      <c r="C136" s="5">
        <v>1</v>
      </c>
      <c r="D136" s="5">
        <v>0</v>
      </c>
      <c r="E136" s="5">
        <v>1</v>
      </c>
      <c r="F136" s="5">
        <v>20</v>
      </c>
      <c r="G136" s="7" t="b">
        <v>0</v>
      </c>
      <c r="H136" s="5">
        <v>4</v>
      </c>
      <c r="I136" s="5">
        <v>1</v>
      </c>
      <c r="J136" s="5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  <c r="Q136" t="s">
        <v>51</v>
      </c>
      <c r="R136" t="s">
        <v>22</v>
      </c>
      <c r="S136" s="8" t="str">
        <f t="shared" si="6"/>
        <v>Normal</v>
      </c>
      <c r="T136" s="8" t="str">
        <f t="shared" si="7"/>
        <v>Medium</v>
      </c>
      <c r="U136" s="8" t="str">
        <f t="shared" si="8"/>
        <v>Evening</v>
      </c>
      <c r="V136" s="8"/>
      <c r="W136" s="8"/>
    </row>
    <row r="137" spans="1:23" ht="15.75" thickBot="1" x14ac:dyDescent="0.3">
      <c r="A137" s="5">
        <v>136</v>
      </c>
      <c r="B137" s="6">
        <v>40549</v>
      </c>
      <c r="C137" s="5">
        <v>1</v>
      </c>
      <c r="D137" s="5">
        <v>0</v>
      </c>
      <c r="E137" s="5">
        <v>1</v>
      </c>
      <c r="F137" s="5">
        <v>21</v>
      </c>
      <c r="G137" s="7" t="b">
        <v>0</v>
      </c>
      <c r="H137" s="5">
        <v>4</v>
      </c>
      <c r="I137" s="5">
        <v>2</v>
      </c>
      <c r="J137" s="5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  <c r="Q137" t="s">
        <v>51</v>
      </c>
      <c r="R137" t="s">
        <v>26</v>
      </c>
      <c r="S137" s="8" t="str">
        <f t="shared" si="6"/>
        <v>Normal</v>
      </c>
      <c r="T137" s="8" t="str">
        <f t="shared" si="7"/>
        <v>Low</v>
      </c>
      <c r="U137" s="8" t="str">
        <f t="shared" si="8"/>
        <v>Evening</v>
      </c>
      <c r="V137" s="8"/>
      <c r="W137" s="8"/>
    </row>
    <row r="138" spans="1:23" ht="15.75" thickBot="1" x14ac:dyDescent="0.3">
      <c r="A138" s="5">
        <v>137</v>
      </c>
      <c r="B138" s="6">
        <v>40549</v>
      </c>
      <c r="C138" s="5">
        <v>1</v>
      </c>
      <c r="D138" s="5">
        <v>0</v>
      </c>
      <c r="E138" s="5">
        <v>1</v>
      </c>
      <c r="F138" s="5">
        <v>22</v>
      </c>
      <c r="G138" s="7" t="b">
        <v>0</v>
      </c>
      <c r="H138" s="5">
        <v>4</v>
      </c>
      <c r="I138" s="5">
        <v>2</v>
      </c>
      <c r="J138" s="5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  <c r="Q138" t="s">
        <v>51</v>
      </c>
      <c r="R138" t="s">
        <v>26</v>
      </c>
      <c r="S138" s="8" t="str">
        <f t="shared" si="6"/>
        <v>Normal</v>
      </c>
      <c r="T138" s="8" t="str">
        <f t="shared" si="7"/>
        <v>Medium</v>
      </c>
      <c r="U138" s="8" t="str">
        <f t="shared" si="8"/>
        <v>Evening</v>
      </c>
      <c r="V138" s="8"/>
      <c r="W138" s="8"/>
    </row>
    <row r="139" spans="1:23" ht="15.75" thickBot="1" x14ac:dyDescent="0.3">
      <c r="A139" s="5">
        <v>138</v>
      </c>
      <c r="B139" s="6">
        <v>40549</v>
      </c>
      <c r="C139" s="5">
        <v>1</v>
      </c>
      <c r="D139" s="5">
        <v>0</v>
      </c>
      <c r="E139" s="5">
        <v>1</v>
      </c>
      <c r="F139" s="5">
        <v>23</v>
      </c>
      <c r="G139" s="7" t="b">
        <v>0</v>
      </c>
      <c r="H139" s="5">
        <v>4</v>
      </c>
      <c r="I139" s="5">
        <v>2</v>
      </c>
      <c r="J139" s="5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  <c r="Q139" t="s">
        <v>51</v>
      </c>
      <c r="R139" t="s">
        <v>26</v>
      </c>
      <c r="S139" s="8" t="str">
        <f t="shared" si="6"/>
        <v>Normal</v>
      </c>
      <c r="T139" s="8" t="str">
        <f t="shared" si="7"/>
        <v>Low</v>
      </c>
      <c r="U139" s="8" t="str">
        <f t="shared" si="8"/>
        <v>Evening</v>
      </c>
      <c r="V139" s="8"/>
      <c r="W139" s="8"/>
    </row>
    <row r="140" spans="1:23" ht="15.75" thickBot="1" x14ac:dyDescent="0.3">
      <c r="A140" s="5">
        <v>139</v>
      </c>
      <c r="B140" s="6">
        <v>40550</v>
      </c>
      <c r="C140" s="5">
        <v>1</v>
      </c>
      <c r="D140" s="5">
        <v>0</v>
      </c>
      <c r="E140" s="5">
        <v>1</v>
      </c>
      <c r="F140" s="5">
        <v>0</v>
      </c>
      <c r="G140" s="7" t="b">
        <v>0</v>
      </c>
      <c r="H140" s="5">
        <v>5</v>
      </c>
      <c r="I140" s="5">
        <v>2</v>
      </c>
      <c r="J140" s="5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  <c r="Q140" t="s">
        <v>52</v>
      </c>
      <c r="R140" t="s">
        <v>26</v>
      </c>
      <c r="S140" s="8" t="str">
        <f t="shared" si="6"/>
        <v>Normal</v>
      </c>
      <c r="T140" s="8" t="str">
        <f t="shared" si="7"/>
        <v>Low</v>
      </c>
      <c r="U140" s="8" t="str">
        <f t="shared" si="8"/>
        <v>Night</v>
      </c>
      <c r="V140" s="8"/>
      <c r="W140" s="8"/>
    </row>
    <row r="141" spans="1:23" ht="15.75" thickBot="1" x14ac:dyDescent="0.3">
      <c r="A141" s="5">
        <v>140</v>
      </c>
      <c r="B141" s="6">
        <v>40550</v>
      </c>
      <c r="C141" s="5">
        <v>1</v>
      </c>
      <c r="D141" s="5">
        <v>0</v>
      </c>
      <c r="E141" s="5">
        <v>1</v>
      </c>
      <c r="F141" s="5">
        <v>1</v>
      </c>
      <c r="G141" s="7" t="b">
        <v>0</v>
      </c>
      <c r="H141" s="5">
        <v>5</v>
      </c>
      <c r="I141" s="5">
        <v>2</v>
      </c>
      <c r="J141" s="5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  <c r="Q141" t="s">
        <v>52</v>
      </c>
      <c r="R141" t="s">
        <v>26</v>
      </c>
      <c r="S141" s="8" t="str">
        <f t="shared" si="6"/>
        <v>Normal</v>
      </c>
      <c r="T141" s="8" t="str">
        <f t="shared" si="7"/>
        <v>Low</v>
      </c>
      <c r="U141" s="8" t="str">
        <f t="shared" si="8"/>
        <v>Night</v>
      </c>
      <c r="V141" s="8"/>
      <c r="W141" s="8"/>
    </row>
    <row r="142" spans="1:23" ht="15.75" thickBot="1" x14ac:dyDescent="0.3">
      <c r="A142" s="5">
        <v>141</v>
      </c>
      <c r="B142" s="6">
        <v>40550</v>
      </c>
      <c r="C142" s="5">
        <v>1</v>
      </c>
      <c r="D142" s="5">
        <v>0</v>
      </c>
      <c r="E142" s="5">
        <v>1</v>
      </c>
      <c r="F142" s="5">
        <v>2</v>
      </c>
      <c r="G142" s="7" t="b">
        <v>0</v>
      </c>
      <c r="H142" s="5">
        <v>5</v>
      </c>
      <c r="I142" s="5">
        <v>2</v>
      </c>
      <c r="J142" s="5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  <c r="Q142" t="s">
        <v>52</v>
      </c>
      <c r="R142" t="s">
        <v>26</v>
      </c>
      <c r="S142" s="8" t="str">
        <f t="shared" si="6"/>
        <v>Normal</v>
      </c>
      <c r="T142" s="8" t="str">
        <f t="shared" si="7"/>
        <v>Low</v>
      </c>
      <c r="U142" s="8" t="str">
        <f t="shared" si="8"/>
        <v>Night</v>
      </c>
      <c r="V142" s="8"/>
      <c r="W142" s="8"/>
    </row>
    <row r="143" spans="1:23" ht="15.75" thickBot="1" x14ac:dyDescent="0.3">
      <c r="A143" s="5">
        <v>142</v>
      </c>
      <c r="B143" s="6">
        <v>40550</v>
      </c>
      <c r="C143" s="5">
        <v>1</v>
      </c>
      <c r="D143" s="5">
        <v>0</v>
      </c>
      <c r="E143" s="5">
        <v>1</v>
      </c>
      <c r="F143" s="5">
        <v>4</v>
      </c>
      <c r="G143" s="7" t="b">
        <v>0</v>
      </c>
      <c r="H143" s="5">
        <v>5</v>
      </c>
      <c r="I143" s="5">
        <v>2</v>
      </c>
      <c r="J143" s="5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  <c r="Q143" t="s">
        <v>52</v>
      </c>
      <c r="R143" t="s">
        <v>26</v>
      </c>
      <c r="S143" s="8" t="str">
        <f t="shared" si="6"/>
        <v>Normal</v>
      </c>
      <c r="T143" s="8" t="str">
        <f t="shared" si="7"/>
        <v>Low</v>
      </c>
      <c r="U143" s="8" t="str">
        <f t="shared" si="8"/>
        <v>Night</v>
      </c>
      <c r="V143" s="8"/>
      <c r="W143" s="8"/>
    </row>
    <row r="144" spans="1:23" ht="15.75" thickBot="1" x14ac:dyDescent="0.3">
      <c r="A144" s="5">
        <v>143</v>
      </c>
      <c r="B144" s="6">
        <v>40550</v>
      </c>
      <c r="C144" s="5">
        <v>1</v>
      </c>
      <c r="D144" s="5">
        <v>0</v>
      </c>
      <c r="E144" s="5">
        <v>1</v>
      </c>
      <c r="F144" s="5">
        <v>5</v>
      </c>
      <c r="G144" s="7" t="b">
        <v>0</v>
      </c>
      <c r="H144" s="5">
        <v>5</v>
      </c>
      <c r="I144" s="5">
        <v>3</v>
      </c>
      <c r="J144" s="5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  <c r="Q144" t="s">
        <v>52</v>
      </c>
      <c r="R144" t="s">
        <v>40</v>
      </c>
      <c r="S144" s="8" t="str">
        <f t="shared" si="6"/>
        <v>Normal</v>
      </c>
      <c r="T144" s="8" t="str">
        <f t="shared" si="7"/>
        <v>Low</v>
      </c>
      <c r="U144" s="8" t="str">
        <f t="shared" si="8"/>
        <v>Night</v>
      </c>
      <c r="V144" s="8"/>
      <c r="W144" s="8"/>
    </row>
    <row r="145" spans="1:23" ht="15.75" thickBot="1" x14ac:dyDescent="0.3">
      <c r="A145" s="5">
        <v>144</v>
      </c>
      <c r="B145" s="6">
        <v>40550</v>
      </c>
      <c r="C145" s="5">
        <v>1</v>
      </c>
      <c r="D145" s="5">
        <v>0</v>
      </c>
      <c r="E145" s="5">
        <v>1</v>
      </c>
      <c r="F145" s="5">
        <v>6</v>
      </c>
      <c r="G145" s="7" t="b">
        <v>0</v>
      </c>
      <c r="H145" s="5">
        <v>5</v>
      </c>
      <c r="I145" s="5">
        <v>2</v>
      </c>
      <c r="J145" s="5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  <c r="Q145" t="s">
        <v>52</v>
      </c>
      <c r="R145" t="s">
        <v>26</v>
      </c>
      <c r="S145" s="8" t="str">
        <f t="shared" si="6"/>
        <v>Normal</v>
      </c>
      <c r="T145" s="8" t="str">
        <f t="shared" si="7"/>
        <v>Low</v>
      </c>
      <c r="U145" s="8" t="str">
        <f t="shared" si="8"/>
        <v>Morning</v>
      </c>
      <c r="V145" s="8"/>
      <c r="W145" s="8"/>
    </row>
    <row r="146" spans="1:23" ht="15.75" thickBot="1" x14ac:dyDescent="0.3">
      <c r="A146" s="5">
        <v>145</v>
      </c>
      <c r="B146" s="6">
        <v>40550</v>
      </c>
      <c r="C146" s="5">
        <v>1</v>
      </c>
      <c r="D146" s="5">
        <v>0</v>
      </c>
      <c r="E146" s="5">
        <v>1</v>
      </c>
      <c r="F146" s="5">
        <v>7</v>
      </c>
      <c r="G146" s="7" t="b">
        <v>0</v>
      </c>
      <c r="H146" s="5">
        <v>5</v>
      </c>
      <c r="I146" s="5">
        <v>1</v>
      </c>
      <c r="J146" s="5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  <c r="Q146" t="s">
        <v>52</v>
      </c>
      <c r="R146" t="s">
        <v>22</v>
      </c>
      <c r="S146" s="8" t="str">
        <f t="shared" si="6"/>
        <v>Rush Hour</v>
      </c>
      <c r="T146" s="8" t="str">
        <f t="shared" si="7"/>
        <v>Medium</v>
      </c>
      <c r="U146" s="8" t="str">
        <f t="shared" si="8"/>
        <v>Morning</v>
      </c>
      <c r="V146" s="8"/>
      <c r="W146" s="8"/>
    </row>
    <row r="147" spans="1:23" ht="15.75" thickBot="1" x14ac:dyDescent="0.3">
      <c r="A147" s="5">
        <v>146</v>
      </c>
      <c r="B147" s="6">
        <v>40550</v>
      </c>
      <c r="C147" s="5">
        <v>1</v>
      </c>
      <c r="D147" s="5">
        <v>0</v>
      </c>
      <c r="E147" s="5">
        <v>1</v>
      </c>
      <c r="F147" s="5">
        <v>8</v>
      </c>
      <c r="G147" s="7" t="b">
        <v>0</v>
      </c>
      <c r="H147" s="5">
        <v>5</v>
      </c>
      <c r="I147" s="5">
        <v>1</v>
      </c>
      <c r="J147" s="5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  <c r="Q147" t="s">
        <v>52</v>
      </c>
      <c r="R147" t="s">
        <v>22</v>
      </c>
      <c r="S147" s="8" t="str">
        <f t="shared" si="6"/>
        <v>Rush Hour</v>
      </c>
      <c r="T147" s="8" t="str">
        <f t="shared" si="7"/>
        <v>High</v>
      </c>
      <c r="U147" s="8" t="str">
        <f t="shared" si="8"/>
        <v>Morning</v>
      </c>
      <c r="V147" s="8"/>
      <c r="W147" s="8"/>
    </row>
    <row r="148" spans="1:23" ht="15.75" thickBot="1" x14ac:dyDescent="0.3">
      <c r="A148" s="5">
        <v>147</v>
      </c>
      <c r="B148" s="6">
        <v>40550</v>
      </c>
      <c r="C148" s="5">
        <v>1</v>
      </c>
      <c r="D148" s="5">
        <v>0</v>
      </c>
      <c r="E148" s="5">
        <v>1</v>
      </c>
      <c r="F148" s="5">
        <v>9</v>
      </c>
      <c r="G148" s="7" t="b">
        <v>0</v>
      </c>
      <c r="H148" s="5">
        <v>5</v>
      </c>
      <c r="I148" s="5">
        <v>1</v>
      </c>
      <c r="J148" s="5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  <c r="Q148" t="s">
        <v>52</v>
      </c>
      <c r="R148" t="s">
        <v>22</v>
      </c>
      <c r="S148" s="8" t="str">
        <f t="shared" si="6"/>
        <v>Rush Hour</v>
      </c>
      <c r="T148" s="8" t="str">
        <f t="shared" si="7"/>
        <v>Medium</v>
      </c>
      <c r="U148" s="8" t="str">
        <f t="shared" si="8"/>
        <v>Morning</v>
      </c>
      <c r="V148" s="8"/>
      <c r="W148" s="8"/>
    </row>
    <row r="149" spans="1:23" ht="15.75" thickBot="1" x14ac:dyDescent="0.3">
      <c r="A149" s="5">
        <v>148</v>
      </c>
      <c r="B149" s="6">
        <v>40550</v>
      </c>
      <c r="C149" s="5">
        <v>1</v>
      </c>
      <c r="D149" s="5">
        <v>0</v>
      </c>
      <c r="E149" s="5">
        <v>1</v>
      </c>
      <c r="F149" s="5">
        <v>10</v>
      </c>
      <c r="G149" s="7" t="b">
        <v>0</v>
      </c>
      <c r="H149" s="5">
        <v>5</v>
      </c>
      <c r="I149" s="5">
        <v>1</v>
      </c>
      <c r="J149" s="5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  <c r="Q149" t="s">
        <v>52</v>
      </c>
      <c r="R149" t="s">
        <v>22</v>
      </c>
      <c r="S149" s="8" t="str">
        <f t="shared" si="6"/>
        <v>Normal</v>
      </c>
      <c r="T149" s="8" t="str">
        <f t="shared" si="7"/>
        <v>Medium</v>
      </c>
      <c r="U149" s="8" t="str">
        <f t="shared" si="8"/>
        <v>Morning</v>
      </c>
      <c r="V149" s="8"/>
      <c r="W149" s="8"/>
    </row>
    <row r="150" spans="1:23" ht="15.75" thickBot="1" x14ac:dyDescent="0.3">
      <c r="A150" s="5">
        <v>149</v>
      </c>
      <c r="B150" s="6">
        <v>40550</v>
      </c>
      <c r="C150" s="5">
        <v>1</v>
      </c>
      <c r="D150" s="5">
        <v>0</v>
      </c>
      <c r="E150" s="5">
        <v>1</v>
      </c>
      <c r="F150" s="5">
        <v>11</v>
      </c>
      <c r="G150" s="7" t="b">
        <v>0</v>
      </c>
      <c r="H150" s="5">
        <v>5</v>
      </c>
      <c r="I150" s="5">
        <v>2</v>
      </c>
      <c r="J150" s="5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  <c r="Q150" t="s">
        <v>52</v>
      </c>
      <c r="R150" t="s">
        <v>26</v>
      </c>
      <c r="S150" s="8" t="str">
        <f t="shared" si="6"/>
        <v>Normal</v>
      </c>
      <c r="T150" s="8" t="str">
        <f t="shared" si="7"/>
        <v>Medium</v>
      </c>
      <c r="U150" s="8" t="str">
        <f t="shared" si="8"/>
        <v>Morning</v>
      </c>
      <c r="V150" s="8"/>
      <c r="W150" s="8"/>
    </row>
    <row r="151" spans="1:23" ht="15.75" thickBot="1" x14ac:dyDescent="0.3">
      <c r="A151" s="5">
        <v>150</v>
      </c>
      <c r="B151" s="6">
        <v>40550</v>
      </c>
      <c r="C151" s="5">
        <v>1</v>
      </c>
      <c r="D151" s="5">
        <v>0</v>
      </c>
      <c r="E151" s="5">
        <v>1</v>
      </c>
      <c r="F151" s="5">
        <v>12</v>
      </c>
      <c r="G151" s="7" t="b">
        <v>0</v>
      </c>
      <c r="H151" s="5">
        <v>5</v>
      </c>
      <c r="I151" s="5">
        <v>2</v>
      </c>
      <c r="J151" s="5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  <c r="Q151" t="s">
        <v>52</v>
      </c>
      <c r="R151" t="s">
        <v>26</v>
      </c>
      <c r="S151" s="8" t="str">
        <f t="shared" si="6"/>
        <v>Normal</v>
      </c>
      <c r="T151" s="8" t="str">
        <f t="shared" si="7"/>
        <v>Medium</v>
      </c>
      <c r="U151" s="8" t="str">
        <f t="shared" si="8"/>
        <v>Afternoon</v>
      </c>
      <c r="V151" s="8"/>
      <c r="W151" s="8"/>
    </row>
    <row r="152" spans="1:23" ht="15.75" thickBot="1" x14ac:dyDescent="0.3">
      <c r="A152" s="5">
        <v>151</v>
      </c>
      <c r="B152" s="6">
        <v>40550</v>
      </c>
      <c r="C152" s="5">
        <v>1</v>
      </c>
      <c r="D152" s="5">
        <v>0</v>
      </c>
      <c r="E152" s="5">
        <v>1</v>
      </c>
      <c r="F152" s="5">
        <v>13</v>
      </c>
      <c r="G152" s="7" t="b">
        <v>0</v>
      </c>
      <c r="H152" s="5">
        <v>5</v>
      </c>
      <c r="I152" s="5">
        <v>2</v>
      </c>
      <c r="J152" s="5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  <c r="Q152" t="s">
        <v>52</v>
      </c>
      <c r="R152" t="s">
        <v>26</v>
      </c>
      <c r="S152" s="8" t="str">
        <f t="shared" si="6"/>
        <v>Normal</v>
      </c>
      <c r="T152" s="8" t="str">
        <f t="shared" si="7"/>
        <v>Medium</v>
      </c>
      <c r="U152" s="8" t="str">
        <f t="shared" si="8"/>
        <v>Afternoon</v>
      </c>
      <c r="V152" s="8"/>
      <c r="W152" s="8"/>
    </row>
    <row r="153" spans="1:23" ht="15.75" thickBot="1" x14ac:dyDescent="0.3">
      <c r="A153" s="5">
        <v>152</v>
      </c>
      <c r="B153" s="6">
        <v>40550</v>
      </c>
      <c r="C153" s="5">
        <v>1</v>
      </c>
      <c r="D153" s="5">
        <v>0</v>
      </c>
      <c r="E153" s="5">
        <v>1</v>
      </c>
      <c r="F153" s="5">
        <v>14</v>
      </c>
      <c r="G153" s="7" t="b">
        <v>0</v>
      </c>
      <c r="H153" s="5">
        <v>5</v>
      </c>
      <c r="I153" s="5">
        <v>2</v>
      </c>
      <c r="J153" s="5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  <c r="Q153" t="s">
        <v>52</v>
      </c>
      <c r="R153" t="s">
        <v>26</v>
      </c>
      <c r="S153" s="8" t="str">
        <f t="shared" si="6"/>
        <v>Normal</v>
      </c>
      <c r="T153" s="8" t="str">
        <f t="shared" si="7"/>
        <v>Low</v>
      </c>
      <c r="U153" s="8" t="str">
        <f t="shared" si="8"/>
        <v>Afternoon</v>
      </c>
      <c r="V153" s="8"/>
      <c r="W153" s="8"/>
    </row>
    <row r="154" spans="1:23" ht="15.75" thickBot="1" x14ac:dyDescent="0.3">
      <c r="A154" s="5">
        <v>153</v>
      </c>
      <c r="B154" s="6">
        <v>40550</v>
      </c>
      <c r="C154" s="5">
        <v>1</v>
      </c>
      <c r="D154" s="5">
        <v>0</v>
      </c>
      <c r="E154" s="5">
        <v>1</v>
      </c>
      <c r="F154" s="5">
        <v>15</v>
      </c>
      <c r="G154" s="7" t="b">
        <v>0</v>
      </c>
      <c r="H154" s="5">
        <v>5</v>
      </c>
      <c r="I154" s="5">
        <v>2</v>
      </c>
      <c r="J154" s="5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  <c r="Q154" t="s">
        <v>52</v>
      </c>
      <c r="R154" t="s">
        <v>26</v>
      </c>
      <c r="S154" s="8" t="str">
        <f t="shared" si="6"/>
        <v>Normal</v>
      </c>
      <c r="T154" s="8" t="str">
        <f t="shared" si="7"/>
        <v>Medium</v>
      </c>
      <c r="U154" s="8" t="str">
        <f t="shared" si="8"/>
        <v>Afternoon</v>
      </c>
      <c r="V154" s="8"/>
      <c r="W154" s="8"/>
    </row>
    <row r="155" spans="1:23" ht="15.75" thickBot="1" x14ac:dyDescent="0.3">
      <c r="A155" s="5">
        <v>154</v>
      </c>
      <c r="B155" s="6">
        <v>40550</v>
      </c>
      <c r="C155" s="5">
        <v>1</v>
      </c>
      <c r="D155" s="5">
        <v>0</v>
      </c>
      <c r="E155" s="5">
        <v>1</v>
      </c>
      <c r="F155" s="5">
        <v>16</v>
      </c>
      <c r="G155" s="7" t="b">
        <v>0</v>
      </c>
      <c r="H155" s="5">
        <v>5</v>
      </c>
      <c r="I155" s="5">
        <v>2</v>
      </c>
      <c r="J155" s="5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  <c r="Q155" t="s">
        <v>52</v>
      </c>
      <c r="R155" t="s">
        <v>26</v>
      </c>
      <c r="S155" s="8" t="str">
        <f t="shared" si="6"/>
        <v>Normal</v>
      </c>
      <c r="T155" s="8" t="str">
        <f t="shared" si="7"/>
        <v>Medium</v>
      </c>
      <c r="U155" s="8" t="str">
        <f t="shared" si="8"/>
        <v>Afternoon</v>
      </c>
      <c r="V155" s="8"/>
      <c r="W155" s="8"/>
    </row>
    <row r="156" spans="1:23" ht="15.75" thickBot="1" x14ac:dyDescent="0.3">
      <c r="A156" s="5">
        <v>155</v>
      </c>
      <c r="B156" s="6">
        <v>40550</v>
      </c>
      <c r="C156" s="5">
        <v>1</v>
      </c>
      <c r="D156" s="5">
        <v>0</v>
      </c>
      <c r="E156" s="5">
        <v>1</v>
      </c>
      <c r="F156" s="5">
        <v>17</v>
      </c>
      <c r="G156" s="7" t="b">
        <v>0</v>
      </c>
      <c r="H156" s="5">
        <v>5</v>
      </c>
      <c r="I156" s="5">
        <v>2</v>
      </c>
      <c r="J156" s="5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  <c r="Q156" t="s">
        <v>52</v>
      </c>
      <c r="R156" t="s">
        <v>26</v>
      </c>
      <c r="S156" s="8" t="str">
        <f t="shared" si="6"/>
        <v>Rush Hour</v>
      </c>
      <c r="T156" s="8" t="str">
        <f t="shared" si="7"/>
        <v>High</v>
      </c>
      <c r="U156" s="8" t="str">
        <f t="shared" si="8"/>
        <v>Afternoon</v>
      </c>
      <c r="V156" s="8"/>
      <c r="W156" s="8"/>
    </row>
    <row r="157" spans="1:23" ht="15.75" thickBot="1" x14ac:dyDescent="0.3">
      <c r="A157" s="5">
        <v>156</v>
      </c>
      <c r="B157" s="6">
        <v>40550</v>
      </c>
      <c r="C157" s="5">
        <v>1</v>
      </c>
      <c r="D157" s="5">
        <v>0</v>
      </c>
      <c r="E157" s="5">
        <v>1</v>
      </c>
      <c r="F157" s="5">
        <v>18</v>
      </c>
      <c r="G157" s="7" t="b">
        <v>0</v>
      </c>
      <c r="H157" s="5">
        <v>5</v>
      </c>
      <c r="I157" s="5">
        <v>1</v>
      </c>
      <c r="J157" s="5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  <c r="Q157" t="s">
        <v>52</v>
      </c>
      <c r="R157" t="s">
        <v>22</v>
      </c>
      <c r="S157" s="8" t="str">
        <f t="shared" si="6"/>
        <v>Rush Hour</v>
      </c>
      <c r="T157" s="8" t="str">
        <f t="shared" si="7"/>
        <v>Medium</v>
      </c>
      <c r="U157" s="8" t="str">
        <f t="shared" si="8"/>
        <v>Evening</v>
      </c>
      <c r="V157" s="8"/>
      <c r="W157" s="8"/>
    </row>
    <row r="158" spans="1:23" ht="15.75" thickBot="1" x14ac:dyDescent="0.3">
      <c r="A158" s="5">
        <v>157</v>
      </c>
      <c r="B158" s="6">
        <v>40550</v>
      </c>
      <c r="C158" s="5">
        <v>1</v>
      </c>
      <c r="D158" s="5">
        <v>0</v>
      </c>
      <c r="E158" s="5">
        <v>1</v>
      </c>
      <c r="F158" s="5">
        <v>19</v>
      </c>
      <c r="G158" s="7" t="b">
        <v>0</v>
      </c>
      <c r="H158" s="5">
        <v>5</v>
      </c>
      <c r="I158" s="5">
        <v>1</v>
      </c>
      <c r="J158" s="5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  <c r="Q158" t="s">
        <v>52</v>
      </c>
      <c r="R158" t="s">
        <v>22</v>
      </c>
      <c r="S158" s="8" t="str">
        <f t="shared" si="6"/>
        <v>Rush Hour</v>
      </c>
      <c r="T158" s="8" t="str">
        <f t="shared" si="7"/>
        <v>Medium</v>
      </c>
      <c r="U158" s="8" t="str">
        <f t="shared" si="8"/>
        <v>Evening</v>
      </c>
      <c r="V158" s="8"/>
      <c r="W158" s="8"/>
    </row>
    <row r="159" spans="1:23" ht="15.75" thickBot="1" x14ac:dyDescent="0.3">
      <c r="A159" s="5">
        <v>158</v>
      </c>
      <c r="B159" s="6">
        <v>40550</v>
      </c>
      <c r="C159" s="5">
        <v>1</v>
      </c>
      <c r="D159" s="5">
        <v>0</v>
      </c>
      <c r="E159" s="5">
        <v>1</v>
      </c>
      <c r="F159" s="5">
        <v>20</v>
      </c>
      <c r="G159" s="7" t="b">
        <v>0</v>
      </c>
      <c r="H159" s="5">
        <v>5</v>
      </c>
      <c r="I159" s="5">
        <v>1</v>
      </c>
      <c r="J159" s="5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  <c r="Q159" t="s">
        <v>52</v>
      </c>
      <c r="R159" t="s">
        <v>22</v>
      </c>
      <c r="S159" s="8" t="str">
        <f t="shared" si="6"/>
        <v>Normal</v>
      </c>
      <c r="T159" s="8" t="str">
        <f t="shared" si="7"/>
        <v>Medium</v>
      </c>
      <c r="U159" s="8" t="str">
        <f t="shared" si="8"/>
        <v>Evening</v>
      </c>
      <c r="V159" s="8"/>
      <c r="W159" s="8"/>
    </row>
    <row r="160" spans="1:23" ht="15.75" thickBot="1" x14ac:dyDescent="0.3">
      <c r="A160" s="5">
        <v>159</v>
      </c>
      <c r="B160" s="6">
        <v>40550</v>
      </c>
      <c r="C160" s="5">
        <v>1</v>
      </c>
      <c r="D160" s="5">
        <v>0</v>
      </c>
      <c r="E160" s="5">
        <v>1</v>
      </c>
      <c r="F160" s="5">
        <v>21</v>
      </c>
      <c r="G160" s="7" t="b">
        <v>0</v>
      </c>
      <c r="H160" s="5">
        <v>5</v>
      </c>
      <c r="I160" s="5">
        <v>1</v>
      </c>
      <c r="J160" s="5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  <c r="Q160" t="s">
        <v>52</v>
      </c>
      <c r="R160" t="s">
        <v>22</v>
      </c>
      <c r="S160" s="8" t="str">
        <f t="shared" si="6"/>
        <v>Normal</v>
      </c>
      <c r="T160" s="8" t="str">
        <f t="shared" si="7"/>
        <v>Low</v>
      </c>
      <c r="U160" s="8" t="str">
        <f t="shared" si="8"/>
        <v>Evening</v>
      </c>
      <c r="V160" s="8"/>
      <c r="W160" s="8"/>
    </row>
    <row r="161" spans="1:23" ht="15.75" thickBot="1" x14ac:dyDescent="0.3">
      <c r="A161" s="5">
        <v>160</v>
      </c>
      <c r="B161" s="6">
        <v>40550</v>
      </c>
      <c r="C161" s="5">
        <v>1</v>
      </c>
      <c r="D161" s="5">
        <v>0</v>
      </c>
      <c r="E161" s="5">
        <v>1</v>
      </c>
      <c r="F161" s="5">
        <v>22</v>
      </c>
      <c r="G161" s="7" t="b">
        <v>0</v>
      </c>
      <c r="H161" s="5">
        <v>5</v>
      </c>
      <c r="I161" s="5">
        <v>2</v>
      </c>
      <c r="J161" s="5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  <c r="Q161" t="s">
        <v>52</v>
      </c>
      <c r="R161" t="s">
        <v>26</v>
      </c>
      <c r="S161" s="8" t="str">
        <f t="shared" si="6"/>
        <v>Normal</v>
      </c>
      <c r="T161" s="8" t="str">
        <f t="shared" si="7"/>
        <v>Low</v>
      </c>
      <c r="U161" s="8" t="str">
        <f t="shared" si="8"/>
        <v>Evening</v>
      </c>
      <c r="V161" s="8"/>
      <c r="W161" s="8"/>
    </row>
    <row r="162" spans="1:23" ht="15.75" thickBot="1" x14ac:dyDescent="0.3">
      <c r="A162" s="5">
        <v>161</v>
      </c>
      <c r="B162" s="6">
        <v>40550</v>
      </c>
      <c r="C162" s="5">
        <v>1</v>
      </c>
      <c r="D162" s="5">
        <v>0</v>
      </c>
      <c r="E162" s="5">
        <v>1</v>
      </c>
      <c r="F162" s="5">
        <v>23</v>
      </c>
      <c r="G162" s="7" t="b">
        <v>0</v>
      </c>
      <c r="H162" s="5">
        <v>5</v>
      </c>
      <c r="I162" s="5">
        <v>2</v>
      </c>
      <c r="J162" s="5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  <c r="Q162" t="s">
        <v>52</v>
      </c>
      <c r="R162" t="s">
        <v>26</v>
      </c>
      <c r="S162" s="8" t="str">
        <f t="shared" si="6"/>
        <v>Normal</v>
      </c>
      <c r="T162" s="8" t="str">
        <f t="shared" si="7"/>
        <v>Low</v>
      </c>
      <c r="U162" s="8" t="str">
        <f t="shared" si="8"/>
        <v>Evening</v>
      </c>
      <c r="V162" s="8"/>
      <c r="W162" s="8"/>
    </row>
    <row r="163" spans="1:23" ht="15.75" thickBot="1" x14ac:dyDescent="0.3">
      <c r="A163" s="5">
        <v>162</v>
      </c>
      <c r="B163" s="6">
        <v>40551</v>
      </c>
      <c r="C163" s="5">
        <v>1</v>
      </c>
      <c r="D163" s="5">
        <v>0</v>
      </c>
      <c r="E163" s="5">
        <v>1</v>
      </c>
      <c r="F163" s="5">
        <v>0</v>
      </c>
      <c r="G163" s="7" t="b">
        <v>0</v>
      </c>
      <c r="H163" s="5">
        <v>6</v>
      </c>
      <c r="I163" s="5">
        <v>2</v>
      </c>
      <c r="J163" s="5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  <c r="Q163" t="s">
        <v>21</v>
      </c>
      <c r="R163" t="s">
        <v>26</v>
      </c>
      <c r="S163" s="8" t="str">
        <f t="shared" si="6"/>
        <v>Normal</v>
      </c>
      <c r="T163" s="8" t="str">
        <f t="shared" si="7"/>
        <v>Low</v>
      </c>
      <c r="U163" s="8" t="str">
        <f t="shared" si="8"/>
        <v>Night</v>
      </c>
      <c r="V163" s="8"/>
      <c r="W163" s="8"/>
    </row>
    <row r="164" spans="1:23" ht="15.75" thickBot="1" x14ac:dyDescent="0.3">
      <c r="A164" s="5">
        <v>163</v>
      </c>
      <c r="B164" s="6">
        <v>40551</v>
      </c>
      <c r="C164" s="5">
        <v>1</v>
      </c>
      <c r="D164" s="5">
        <v>0</v>
      </c>
      <c r="E164" s="5">
        <v>1</v>
      </c>
      <c r="F164" s="5">
        <v>1</v>
      </c>
      <c r="G164" s="7" t="b">
        <v>0</v>
      </c>
      <c r="H164" s="5">
        <v>6</v>
      </c>
      <c r="I164" s="5">
        <v>2</v>
      </c>
      <c r="J164" s="5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  <c r="Q164" t="s">
        <v>21</v>
      </c>
      <c r="R164" t="s">
        <v>26</v>
      </c>
      <c r="S164" s="8" t="str">
        <f t="shared" si="6"/>
        <v>Normal</v>
      </c>
      <c r="T164" s="8" t="str">
        <f t="shared" si="7"/>
        <v>Low</v>
      </c>
      <c r="U164" s="8" t="str">
        <f t="shared" si="8"/>
        <v>Night</v>
      </c>
      <c r="V164" s="8"/>
      <c r="W164" s="8"/>
    </row>
    <row r="165" spans="1:23" ht="15.75" thickBot="1" x14ac:dyDescent="0.3">
      <c r="A165" s="5">
        <v>164</v>
      </c>
      <c r="B165" s="6">
        <v>40551</v>
      </c>
      <c r="C165" s="5">
        <v>1</v>
      </c>
      <c r="D165" s="5">
        <v>0</v>
      </c>
      <c r="E165" s="5">
        <v>1</v>
      </c>
      <c r="F165" s="5">
        <v>2</v>
      </c>
      <c r="G165" s="7" t="b">
        <v>0</v>
      </c>
      <c r="H165" s="5">
        <v>6</v>
      </c>
      <c r="I165" s="5">
        <v>2</v>
      </c>
      <c r="J165" s="5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  <c r="Q165" t="s">
        <v>21</v>
      </c>
      <c r="R165" t="s">
        <v>26</v>
      </c>
      <c r="S165" s="8" t="str">
        <f t="shared" si="6"/>
        <v>Normal</v>
      </c>
      <c r="T165" s="8" t="str">
        <f t="shared" si="7"/>
        <v>Low</v>
      </c>
      <c r="U165" s="8" t="str">
        <f t="shared" si="8"/>
        <v>Night</v>
      </c>
      <c r="V165" s="8"/>
      <c r="W165" s="8"/>
    </row>
    <row r="166" spans="1:23" ht="15.75" thickBot="1" x14ac:dyDescent="0.3">
      <c r="A166" s="5">
        <v>165</v>
      </c>
      <c r="B166" s="6">
        <v>40551</v>
      </c>
      <c r="C166" s="5">
        <v>1</v>
      </c>
      <c r="D166" s="5">
        <v>0</v>
      </c>
      <c r="E166" s="5">
        <v>1</v>
      </c>
      <c r="F166" s="5">
        <v>3</v>
      </c>
      <c r="G166" s="7" t="b">
        <v>0</v>
      </c>
      <c r="H166" s="5">
        <v>6</v>
      </c>
      <c r="I166" s="5">
        <v>3</v>
      </c>
      <c r="J166" s="5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  <c r="Q166" t="s">
        <v>21</v>
      </c>
      <c r="R166" t="s">
        <v>40</v>
      </c>
      <c r="S166" s="8" t="str">
        <f t="shared" si="6"/>
        <v>Normal</v>
      </c>
      <c r="T166" s="8" t="str">
        <f t="shared" si="7"/>
        <v>Low</v>
      </c>
      <c r="U166" s="8" t="str">
        <f t="shared" si="8"/>
        <v>Night</v>
      </c>
      <c r="V166" s="8"/>
      <c r="W166" s="8"/>
    </row>
    <row r="167" spans="1:23" ht="15.75" thickBot="1" x14ac:dyDescent="0.3">
      <c r="A167" s="5">
        <v>166</v>
      </c>
      <c r="B167" s="6">
        <v>40551</v>
      </c>
      <c r="C167" s="5">
        <v>1</v>
      </c>
      <c r="D167" s="5">
        <v>0</v>
      </c>
      <c r="E167" s="5">
        <v>1</v>
      </c>
      <c r="F167" s="5">
        <v>4</v>
      </c>
      <c r="G167" s="7" t="b">
        <v>0</v>
      </c>
      <c r="H167" s="5">
        <v>6</v>
      </c>
      <c r="I167" s="5">
        <v>3</v>
      </c>
      <c r="J167" s="5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  <c r="Q167" t="s">
        <v>21</v>
      </c>
      <c r="R167" t="s">
        <v>40</v>
      </c>
      <c r="S167" s="8" t="str">
        <f t="shared" si="6"/>
        <v>Normal</v>
      </c>
      <c r="T167" s="8" t="str">
        <f t="shared" si="7"/>
        <v>Low</v>
      </c>
      <c r="U167" s="8" t="str">
        <f t="shared" si="8"/>
        <v>Night</v>
      </c>
      <c r="V167" s="8"/>
      <c r="W167" s="8"/>
    </row>
    <row r="168" spans="1:23" ht="15.75" thickBot="1" x14ac:dyDescent="0.3">
      <c r="A168" s="5">
        <v>167</v>
      </c>
      <c r="B168" s="6">
        <v>40551</v>
      </c>
      <c r="C168" s="5">
        <v>1</v>
      </c>
      <c r="D168" s="5">
        <v>0</v>
      </c>
      <c r="E168" s="5">
        <v>1</v>
      </c>
      <c r="F168" s="5">
        <v>5</v>
      </c>
      <c r="G168" s="7" t="b">
        <v>0</v>
      </c>
      <c r="H168" s="5">
        <v>6</v>
      </c>
      <c r="I168" s="5">
        <v>2</v>
      </c>
      <c r="J168" s="5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  <c r="Q168" t="s">
        <v>21</v>
      </c>
      <c r="R168" t="s">
        <v>26</v>
      </c>
      <c r="S168" s="8" t="str">
        <f t="shared" si="6"/>
        <v>Normal</v>
      </c>
      <c r="T168" s="8" t="str">
        <f t="shared" si="7"/>
        <v>Low</v>
      </c>
      <c r="U168" s="8" t="str">
        <f t="shared" si="8"/>
        <v>Night</v>
      </c>
      <c r="V168" s="8"/>
      <c r="W168" s="8"/>
    </row>
    <row r="169" spans="1:23" ht="15.75" thickBot="1" x14ac:dyDescent="0.3">
      <c r="A169" s="5">
        <v>168</v>
      </c>
      <c r="B169" s="6">
        <v>40551</v>
      </c>
      <c r="C169" s="5">
        <v>1</v>
      </c>
      <c r="D169" s="5">
        <v>0</v>
      </c>
      <c r="E169" s="5">
        <v>1</v>
      </c>
      <c r="F169" s="5">
        <v>6</v>
      </c>
      <c r="G169" s="7" t="b">
        <v>0</v>
      </c>
      <c r="H169" s="5">
        <v>6</v>
      </c>
      <c r="I169" s="5">
        <v>2</v>
      </c>
      <c r="J169" s="5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  <c r="Q169" t="s">
        <v>21</v>
      </c>
      <c r="R169" t="s">
        <v>26</v>
      </c>
      <c r="S169" s="8" t="str">
        <f t="shared" si="6"/>
        <v>Normal</v>
      </c>
      <c r="T169" s="8" t="str">
        <f t="shared" si="7"/>
        <v>Low</v>
      </c>
      <c r="U169" s="8" t="str">
        <f t="shared" si="8"/>
        <v>Morning</v>
      </c>
      <c r="V169" s="8"/>
      <c r="W169" s="8"/>
    </row>
    <row r="170" spans="1:23" ht="15.75" thickBot="1" x14ac:dyDescent="0.3">
      <c r="A170" s="5">
        <v>169</v>
      </c>
      <c r="B170" s="6">
        <v>40551</v>
      </c>
      <c r="C170" s="5">
        <v>1</v>
      </c>
      <c r="D170" s="5">
        <v>0</v>
      </c>
      <c r="E170" s="5">
        <v>1</v>
      </c>
      <c r="F170" s="5">
        <v>7</v>
      </c>
      <c r="G170" s="7" t="b">
        <v>0</v>
      </c>
      <c r="H170" s="5">
        <v>6</v>
      </c>
      <c r="I170" s="5">
        <v>2</v>
      </c>
      <c r="J170" s="5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  <c r="Q170" t="s">
        <v>21</v>
      </c>
      <c r="R170" t="s">
        <v>26</v>
      </c>
      <c r="S170" s="8" t="str">
        <f t="shared" si="6"/>
        <v>Rush Hour</v>
      </c>
      <c r="T170" s="8" t="str">
        <f t="shared" si="7"/>
        <v>Low</v>
      </c>
      <c r="U170" s="8" t="str">
        <f t="shared" si="8"/>
        <v>Morning</v>
      </c>
      <c r="V170" s="8"/>
      <c r="W170" s="8"/>
    </row>
    <row r="171" spans="1:23" ht="15.75" thickBot="1" x14ac:dyDescent="0.3">
      <c r="A171" s="5">
        <v>170</v>
      </c>
      <c r="B171" s="6">
        <v>40551</v>
      </c>
      <c r="C171" s="5">
        <v>1</v>
      </c>
      <c r="D171" s="5">
        <v>0</v>
      </c>
      <c r="E171" s="5">
        <v>1</v>
      </c>
      <c r="F171" s="5">
        <v>8</v>
      </c>
      <c r="G171" s="7" t="b">
        <v>0</v>
      </c>
      <c r="H171" s="5">
        <v>6</v>
      </c>
      <c r="I171" s="5">
        <v>3</v>
      </c>
      <c r="J171" s="5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  <c r="Q171" t="s">
        <v>21</v>
      </c>
      <c r="R171" t="s">
        <v>40</v>
      </c>
      <c r="S171" s="8" t="str">
        <f t="shared" si="6"/>
        <v>Rush Hour</v>
      </c>
      <c r="T171" s="8" t="str">
        <f t="shared" si="7"/>
        <v>Low</v>
      </c>
      <c r="U171" s="8" t="str">
        <f t="shared" si="8"/>
        <v>Morning</v>
      </c>
      <c r="V171" s="8"/>
      <c r="W171" s="8"/>
    </row>
    <row r="172" spans="1:23" ht="15.75" thickBot="1" x14ac:dyDescent="0.3">
      <c r="A172" s="5">
        <v>171</v>
      </c>
      <c r="B172" s="6">
        <v>40551</v>
      </c>
      <c r="C172" s="5">
        <v>1</v>
      </c>
      <c r="D172" s="5">
        <v>0</v>
      </c>
      <c r="E172" s="5">
        <v>1</v>
      </c>
      <c r="F172" s="5">
        <v>9</v>
      </c>
      <c r="G172" s="7" t="b">
        <v>0</v>
      </c>
      <c r="H172" s="5">
        <v>6</v>
      </c>
      <c r="I172" s="5">
        <v>3</v>
      </c>
      <c r="J172" s="5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  <c r="Q172" t="s">
        <v>21</v>
      </c>
      <c r="R172" t="s">
        <v>40</v>
      </c>
      <c r="S172" s="8" t="str">
        <f t="shared" si="6"/>
        <v>Rush Hour</v>
      </c>
      <c r="T172" s="8" t="str">
        <f t="shared" si="7"/>
        <v>Low</v>
      </c>
      <c r="U172" s="8" t="str">
        <f t="shared" si="8"/>
        <v>Morning</v>
      </c>
      <c r="V172" s="8"/>
      <c r="W172" s="8"/>
    </row>
    <row r="173" spans="1:23" ht="15.75" thickBot="1" x14ac:dyDescent="0.3">
      <c r="A173" s="5">
        <v>172</v>
      </c>
      <c r="B173" s="6">
        <v>40551</v>
      </c>
      <c r="C173" s="5">
        <v>1</v>
      </c>
      <c r="D173" s="5">
        <v>0</v>
      </c>
      <c r="E173" s="5">
        <v>1</v>
      </c>
      <c r="F173" s="5">
        <v>10</v>
      </c>
      <c r="G173" s="7" t="b">
        <v>0</v>
      </c>
      <c r="H173" s="5">
        <v>6</v>
      </c>
      <c r="I173" s="5">
        <v>2</v>
      </c>
      <c r="J173" s="5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  <c r="Q173" t="s">
        <v>21</v>
      </c>
      <c r="R173" t="s">
        <v>26</v>
      </c>
      <c r="S173" s="8" t="str">
        <f t="shared" si="6"/>
        <v>Normal</v>
      </c>
      <c r="T173" s="8" t="str">
        <f t="shared" si="7"/>
        <v>Medium</v>
      </c>
      <c r="U173" s="8" t="str">
        <f t="shared" si="8"/>
        <v>Morning</v>
      </c>
      <c r="V173" s="8"/>
      <c r="W173" s="8"/>
    </row>
    <row r="174" spans="1:23" ht="15.75" thickBot="1" x14ac:dyDescent="0.3">
      <c r="A174" s="5">
        <v>173</v>
      </c>
      <c r="B174" s="6">
        <v>40551</v>
      </c>
      <c r="C174" s="5">
        <v>1</v>
      </c>
      <c r="D174" s="5">
        <v>0</v>
      </c>
      <c r="E174" s="5">
        <v>1</v>
      </c>
      <c r="F174" s="5">
        <v>11</v>
      </c>
      <c r="G174" s="7" t="b">
        <v>0</v>
      </c>
      <c r="H174" s="5">
        <v>6</v>
      </c>
      <c r="I174" s="5">
        <v>2</v>
      </c>
      <c r="J174" s="5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  <c r="Q174" t="s">
        <v>21</v>
      </c>
      <c r="R174" t="s">
        <v>26</v>
      </c>
      <c r="S174" s="8" t="str">
        <f t="shared" si="6"/>
        <v>Normal</v>
      </c>
      <c r="T174" s="8" t="str">
        <f t="shared" si="7"/>
        <v>Medium</v>
      </c>
      <c r="U174" s="8" t="str">
        <f t="shared" si="8"/>
        <v>Morning</v>
      </c>
      <c r="V174" s="8"/>
      <c r="W174" s="8"/>
    </row>
    <row r="175" spans="1:23" ht="15.75" thickBot="1" x14ac:dyDescent="0.3">
      <c r="A175" s="5">
        <v>174</v>
      </c>
      <c r="B175" s="6">
        <v>40551</v>
      </c>
      <c r="C175" s="5">
        <v>1</v>
      </c>
      <c r="D175" s="5">
        <v>0</v>
      </c>
      <c r="E175" s="5">
        <v>1</v>
      </c>
      <c r="F175" s="5">
        <v>12</v>
      </c>
      <c r="G175" s="7" t="b">
        <v>0</v>
      </c>
      <c r="H175" s="5">
        <v>6</v>
      </c>
      <c r="I175" s="5">
        <v>2</v>
      </c>
      <c r="J175" s="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  <c r="Q175" t="s">
        <v>21</v>
      </c>
      <c r="R175" t="s">
        <v>26</v>
      </c>
      <c r="S175" s="8" t="str">
        <f t="shared" si="6"/>
        <v>Normal</v>
      </c>
      <c r="T175" s="8" t="str">
        <f t="shared" si="7"/>
        <v>Medium</v>
      </c>
      <c r="U175" s="8" t="str">
        <f t="shared" si="8"/>
        <v>Afternoon</v>
      </c>
      <c r="V175" s="8"/>
      <c r="W175" s="8"/>
    </row>
    <row r="176" spans="1:23" ht="15.75" thickBot="1" x14ac:dyDescent="0.3">
      <c r="A176" s="5">
        <v>175</v>
      </c>
      <c r="B176" s="6">
        <v>40551</v>
      </c>
      <c r="C176" s="5">
        <v>1</v>
      </c>
      <c r="D176" s="5">
        <v>0</v>
      </c>
      <c r="E176" s="5">
        <v>1</v>
      </c>
      <c r="F176" s="5">
        <v>13</v>
      </c>
      <c r="G176" s="7" t="b">
        <v>0</v>
      </c>
      <c r="H176" s="5">
        <v>6</v>
      </c>
      <c r="I176" s="5">
        <v>1</v>
      </c>
      <c r="J176" s="5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  <c r="Q176" t="s">
        <v>21</v>
      </c>
      <c r="R176" t="s">
        <v>22</v>
      </c>
      <c r="S176" s="8" t="str">
        <f t="shared" si="6"/>
        <v>Normal</v>
      </c>
      <c r="T176" s="8" t="str">
        <f t="shared" si="7"/>
        <v>Medium</v>
      </c>
      <c r="U176" s="8" t="str">
        <f t="shared" si="8"/>
        <v>Afternoon</v>
      </c>
      <c r="V176" s="8"/>
      <c r="W176" s="8"/>
    </row>
    <row r="177" spans="1:23" ht="15.75" thickBot="1" x14ac:dyDescent="0.3">
      <c r="A177" s="5">
        <v>176</v>
      </c>
      <c r="B177" s="6">
        <v>40551</v>
      </c>
      <c r="C177" s="5">
        <v>1</v>
      </c>
      <c r="D177" s="5">
        <v>0</v>
      </c>
      <c r="E177" s="5">
        <v>1</v>
      </c>
      <c r="F177" s="5">
        <v>14</v>
      </c>
      <c r="G177" s="7" t="b">
        <v>0</v>
      </c>
      <c r="H177" s="5">
        <v>6</v>
      </c>
      <c r="I177" s="5">
        <v>1</v>
      </c>
      <c r="J177" s="5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  <c r="Q177" t="s">
        <v>21</v>
      </c>
      <c r="R177" t="s">
        <v>22</v>
      </c>
      <c r="S177" s="8" t="str">
        <f t="shared" si="6"/>
        <v>Normal</v>
      </c>
      <c r="T177" s="8" t="str">
        <f t="shared" si="7"/>
        <v>Medium</v>
      </c>
      <c r="U177" s="8" t="str">
        <f t="shared" si="8"/>
        <v>Afternoon</v>
      </c>
      <c r="V177" s="8"/>
      <c r="W177" s="8"/>
    </row>
    <row r="178" spans="1:23" ht="15.75" thickBot="1" x14ac:dyDescent="0.3">
      <c r="A178" s="5">
        <v>177</v>
      </c>
      <c r="B178" s="6">
        <v>40551</v>
      </c>
      <c r="C178" s="5">
        <v>1</v>
      </c>
      <c r="D178" s="5">
        <v>0</v>
      </c>
      <c r="E178" s="5">
        <v>1</v>
      </c>
      <c r="F178" s="5">
        <v>15</v>
      </c>
      <c r="G178" s="7" t="b">
        <v>0</v>
      </c>
      <c r="H178" s="5">
        <v>6</v>
      </c>
      <c r="I178" s="5">
        <v>1</v>
      </c>
      <c r="J178" s="5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  <c r="Q178" t="s">
        <v>21</v>
      </c>
      <c r="R178" t="s">
        <v>22</v>
      </c>
      <c r="S178" s="8" t="str">
        <f t="shared" si="6"/>
        <v>Normal</v>
      </c>
      <c r="T178" s="8" t="str">
        <f t="shared" si="7"/>
        <v>Medium</v>
      </c>
      <c r="U178" s="8" t="str">
        <f t="shared" si="8"/>
        <v>Afternoon</v>
      </c>
      <c r="V178" s="8"/>
      <c r="W178" s="8"/>
    </row>
    <row r="179" spans="1:23" ht="15.75" thickBot="1" x14ac:dyDescent="0.3">
      <c r="A179" s="5">
        <v>178</v>
      </c>
      <c r="B179" s="6">
        <v>40551</v>
      </c>
      <c r="C179" s="5">
        <v>1</v>
      </c>
      <c r="D179" s="5">
        <v>0</v>
      </c>
      <c r="E179" s="5">
        <v>1</v>
      </c>
      <c r="F179" s="5">
        <v>16</v>
      </c>
      <c r="G179" s="7" t="b">
        <v>0</v>
      </c>
      <c r="H179" s="5">
        <v>6</v>
      </c>
      <c r="I179" s="5">
        <v>1</v>
      </c>
      <c r="J179" s="5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  <c r="Q179" t="s">
        <v>21</v>
      </c>
      <c r="R179" t="s">
        <v>22</v>
      </c>
      <c r="S179" s="8" t="str">
        <f t="shared" si="6"/>
        <v>Normal</v>
      </c>
      <c r="T179" s="8" t="str">
        <f t="shared" si="7"/>
        <v>Medium</v>
      </c>
      <c r="U179" s="8" t="str">
        <f t="shared" si="8"/>
        <v>Afternoon</v>
      </c>
      <c r="V179" s="8"/>
      <c r="W179" s="8"/>
    </row>
    <row r="180" spans="1:23" ht="15.75" thickBot="1" x14ac:dyDescent="0.3">
      <c r="A180" s="5">
        <v>179</v>
      </c>
      <c r="B180" s="6">
        <v>40551</v>
      </c>
      <c r="C180" s="5">
        <v>1</v>
      </c>
      <c r="D180" s="5">
        <v>0</v>
      </c>
      <c r="E180" s="5">
        <v>1</v>
      </c>
      <c r="F180" s="5">
        <v>17</v>
      </c>
      <c r="G180" s="7" t="b">
        <v>0</v>
      </c>
      <c r="H180" s="5">
        <v>6</v>
      </c>
      <c r="I180" s="5">
        <v>1</v>
      </c>
      <c r="J180" s="5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  <c r="Q180" t="s">
        <v>21</v>
      </c>
      <c r="R180" t="s">
        <v>22</v>
      </c>
      <c r="S180" s="8" t="str">
        <f t="shared" si="6"/>
        <v>Rush Hour</v>
      </c>
      <c r="T180" s="8" t="str">
        <f t="shared" si="7"/>
        <v>Medium</v>
      </c>
      <c r="U180" s="8" t="str">
        <f t="shared" si="8"/>
        <v>Afternoon</v>
      </c>
      <c r="V180" s="8"/>
      <c r="W180" s="8"/>
    </row>
    <row r="181" spans="1:23" ht="15.75" thickBot="1" x14ac:dyDescent="0.3">
      <c r="A181" s="5">
        <v>180</v>
      </c>
      <c r="B181" s="6">
        <v>40551</v>
      </c>
      <c r="C181" s="5">
        <v>1</v>
      </c>
      <c r="D181" s="5">
        <v>0</v>
      </c>
      <c r="E181" s="5">
        <v>1</v>
      </c>
      <c r="F181" s="5">
        <v>18</v>
      </c>
      <c r="G181" s="7" t="b">
        <v>0</v>
      </c>
      <c r="H181" s="5">
        <v>6</v>
      </c>
      <c r="I181" s="5">
        <v>1</v>
      </c>
      <c r="J181" s="5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  <c r="Q181" t="s">
        <v>21</v>
      </c>
      <c r="R181" t="s">
        <v>22</v>
      </c>
      <c r="S181" s="8" t="str">
        <f t="shared" si="6"/>
        <v>Rush Hour</v>
      </c>
      <c r="T181" s="8" t="str">
        <f t="shared" si="7"/>
        <v>Medium</v>
      </c>
      <c r="U181" s="8" t="str">
        <f t="shared" si="8"/>
        <v>Evening</v>
      </c>
      <c r="V181" s="8"/>
      <c r="W181" s="8"/>
    </row>
    <row r="182" spans="1:23" ht="15.75" thickBot="1" x14ac:dyDescent="0.3">
      <c r="A182" s="5">
        <v>181</v>
      </c>
      <c r="B182" s="6">
        <v>40551</v>
      </c>
      <c r="C182" s="5">
        <v>1</v>
      </c>
      <c r="D182" s="5">
        <v>0</v>
      </c>
      <c r="E182" s="5">
        <v>1</v>
      </c>
      <c r="F182" s="5">
        <v>19</v>
      </c>
      <c r="G182" s="7" t="b">
        <v>0</v>
      </c>
      <c r="H182" s="5">
        <v>6</v>
      </c>
      <c r="I182" s="5">
        <v>1</v>
      </c>
      <c r="J182" s="5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  <c r="Q182" t="s">
        <v>21</v>
      </c>
      <c r="R182" t="s">
        <v>22</v>
      </c>
      <c r="S182" s="8" t="str">
        <f t="shared" si="6"/>
        <v>Rush Hour</v>
      </c>
      <c r="T182" s="8" t="str">
        <f t="shared" si="7"/>
        <v>Low</v>
      </c>
      <c r="U182" s="8" t="str">
        <f t="shared" si="8"/>
        <v>Evening</v>
      </c>
      <c r="V182" s="8"/>
      <c r="W182" s="8"/>
    </row>
    <row r="183" spans="1:23" ht="15.75" thickBot="1" x14ac:dyDescent="0.3">
      <c r="A183" s="5">
        <v>182</v>
      </c>
      <c r="B183" s="6">
        <v>40551</v>
      </c>
      <c r="C183" s="5">
        <v>1</v>
      </c>
      <c r="D183" s="5">
        <v>0</v>
      </c>
      <c r="E183" s="5">
        <v>1</v>
      </c>
      <c r="F183" s="5">
        <v>20</v>
      </c>
      <c r="G183" s="7" t="b">
        <v>0</v>
      </c>
      <c r="H183" s="5">
        <v>6</v>
      </c>
      <c r="I183" s="5">
        <v>1</v>
      </c>
      <c r="J183" s="5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  <c r="Q183" t="s">
        <v>21</v>
      </c>
      <c r="R183" t="s">
        <v>22</v>
      </c>
      <c r="S183" s="8" t="str">
        <f t="shared" si="6"/>
        <v>Normal</v>
      </c>
      <c r="T183" s="8" t="str">
        <f t="shared" si="7"/>
        <v>Low</v>
      </c>
      <c r="U183" s="8" t="str">
        <f t="shared" si="8"/>
        <v>Evening</v>
      </c>
      <c r="V183" s="8"/>
      <c r="W183" s="8"/>
    </row>
    <row r="184" spans="1:23" ht="15.75" thickBot="1" x14ac:dyDescent="0.3">
      <c r="A184" s="5">
        <v>183</v>
      </c>
      <c r="B184" s="6">
        <v>40551</v>
      </c>
      <c r="C184" s="5">
        <v>1</v>
      </c>
      <c r="D184" s="5">
        <v>0</v>
      </c>
      <c r="E184" s="5">
        <v>1</v>
      </c>
      <c r="F184" s="5">
        <v>21</v>
      </c>
      <c r="G184" s="7" t="b">
        <v>0</v>
      </c>
      <c r="H184" s="5">
        <v>6</v>
      </c>
      <c r="I184" s="5">
        <v>1</v>
      </c>
      <c r="J184" s="5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  <c r="Q184" t="s">
        <v>21</v>
      </c>
      <c r="R184" t="s">
        <v>22</v>
      </c>
      <c r="S184" s="8" t="str">
        <f t="shared" si="6"/>
        <v>Normal</v>
      </c>
      <c r="T184" s="8" t="str">
        <f t="shared" si="7"/>
        <v>Low</v>
      </c>
      <c r="U184" s="8" t="str">
        <f t="shared" si="8"/>
        <v>Evening</v>
      </c>
      <c r="V184" s="8"/>
      <c r="W184" s="8"/>
    </row>
    <row r="185" spans="1:23" ht="15.75" thickBot="1" x14ac:dyDescent="0.3">
      <c r="A185" s="5">
        <v>184</v>
      </c>
      <c r="B185" s="6">
        <v>40551</v>
      </c>
      <c r="C185" s="5">
        <v>1</v>
      </c>
      <c r="D185" s="5">
        <v>0</v>
      </c>
      <c r="E185" s="5">
        <v>1</v>
      </c>
      <c r="F185" s="5">
        <v>22</v>
      </c>
      <c r="G185" s="7" t="b">
        <v>0</v>
      </c>
      <c r="H185" s="5">
        <v>6</v>
      </c>
      <c r="I185" s="5">
        <v>1</v>
      </c>
      <c r="J185" s="5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  <c r="Q185" t="s">
        <v>21</v>
      </c>
      <c r="R185" t="s">
        <v>22</v>
      </c>
      <c r="S185" s="8" t="str">
        <f t="shared" si="6"/>
        <v>Normal</v>
      </c>
      <c r="T185" s="8" t="str">
        <f t="shared" si="7"/>
        <v>Low</v>
      </c>
      <c r="U185" s="8" t="str">
        <f t="shared" si="8"/>
        <v>Evening</v>
      </c>
      <c r="V185" s="8"/>
      <c r="W185" s="8"/>
    </row>
    <row r="186" spans="1:23" ht="15.75" thickBot="1" x14ac:dyDescent="0.3">
      <c r="A186" s="5">
        <v>185</v>
      </c>
      <c r="B186" s="6">
        <v>40551</v>
      </c>
      <c r="C186" s="5">
        <v>1</v>
      </c>
      <c r="D186" s="5">
        <v>0</v>
      </c>
      <c r="E186" s="5">
        <v>1</v>
      </c>
      <c r="F186" s="5">
        <v>23</v>
      </c>
      <c r="G186" s="7" t="b">
        <v>0</v>
      </c>
      <c r="H186" s="5">
        <v>6</v>
      </c>
      <c r="I186" s="5">
        <v>1</v>
      </c>
      <c r="J186" s="5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  <c r="Q186" t="s">
        <v>21</v>
      </c>
      <c r="R186" t="s">
        <v>22</v>
      </c>
      <c r="S186" s="8" t="str">
        <f t="shared" si="6"/>
        <v>Normal</v>
      </c>
      <c r="T186" s="8" t="str">
        <f t="shared" si="7"/>
        <v>Low</v>
      </c>
      <c r="U186" s="8" t="str">
        <f t="shared" si="8"/>
        <v>Evening</v>
      </c>
      <c r="V186" s="8"/>
      <c r="W186" s="8"/>
    </row>
    <row r="187" spans="1:23" ht="15.75" thickBot="1" x14ac:dyDescent="0.3">
      <c r="A187" s="5">
        <v>186</v>
      </c>
      <c r="B187" s="6">
        <v>40552</v>
      </c>
      <c r="C187" s="5">
        <v>1</v>
      </c>
      <c r="D187" s="5">
        <v>0</v>
      </c>
      <c r="E187" s="5">
        <v>1</v>
      </c>
      <c r="F187" s="5">
        <v>0</v>
      </c>
      <c r="G187" s="7" t="b">
        <v>0</v>
      </c>
      <c r="H187" s="5">
        <v>0</v>
      </c>
      <c r="I187" s="5">
        <v>1</v>
      </c>
      <c r="J187" s="5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  <c r="Q187" t="s">
        <v>47</v>
      </c>
      <c r="R187" t="s">
        <v>22</v>
      </c>
      <c r="S187" s="8" t="str">
        <f t="shared" si="6"/>
        <v>Normal</v>
      </c>
      <c r="T187" s="8" t="str">
        <f t="shared" si="7"/>
        <v>Low</v>
      </c>
      <c r="U187" s="8" t="str">
        <f t="shared" si="8"/>
        <v>Night</v>
      </c>
      <c r="V187" s="8"/>
      <c r="W187" s="8"/>
    </row>
    <row r="188" spans="1:23" ht="15.75" thickBot="1" x14ac:dyDescent="0.3">
      <c r="A188" s="5">
        <v>187</v>
      </c>
      <c r="B188" s="6">
        <v>40552</v>
      </c>
      <c r="C188" s="5">
        <v>1</v>
      </c>
      <c r="D188" s="5">
        <v>0</v>
      </c>
      <c r="E188" s="5">
        <v>1</v>
      </c>
      <c r="F188" s="5">
        <v>1</v>
      </c>
      <c r="G188" s="7" t="b">
        <v>0</v>
      </c>
      <c r="H188" s="5">
        <v>0</v>
      </c>
      <c r="I188" s="5">
        <v>1</v>
      </c>
      <c r="J188" s="5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  <c r="Q188" t="s">
        <v>47</v>
      </c>
      <c r="R188" t="s">
        <v>22</v>
      </c>
      <c r="S188" s="8" t="str">
        <f t="shared" si="6"/>
        <v>Normal</v>
      </c>
      <c r="T188" s="8" t="str">
        <f t="shared" si="7"/>
        <v>Low</v>
      </c>
      <c r="U188" s="8" t="str">
        <f t="shared" si="8"/>
        <v>Night</v>
      </c>
      <c r="V188" s="8"/>
      <c r="W188" s="8"/>
    </row>
    <row r="189" spans="1:23" ht="15.75" thickBot="1" x14ac:dyDescent="0.3">
      <c r="A189" s="5">
        <v>188</v>
      </c>
      <c r="B189" s="6">
        <v>40552</v>
      </c>
      <c r="C189" s="5">
        <v>1</v>
      </c>
      <c r="D189" s="5">
        <v>0</v>
      </c>
      <c r="E189" s="5">
        <v>1</v>
      </c>
      <c r="F189" s="5">
        <v>2</v>
      </c>
      <c r="G189" s="7" t="b">
        <v>0</v>
      </c>
      <c r="H189" s="5">
        <v>0</v>
      </c>
      <c r="I189" s="5">
        <v>1</v>
      </c>
      <c r="J189" s="5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  <c r="Q189" t="s">
        <v>47</v>
      </c>
      <c r="R189" t="s">
        <v>22</v>
      </c>
      <c r="S189" s="8" t="str">
        <f t="shared" si="6"/>
        <v>Normal</v>
      </c>
      <c r="T189" s="8" t="str">
        <f t="shared" si="7"/>
        <v>Low</v>
      </c>
      <c r="U189" s="8" t="str">
        <f t="shared" si="8"/>
        <v>Night</v>
      </c>
      <c r="V189" s="8"/>
      <c r="W189" s="8"/>
    </row>
    <row r="190" spans="1:23" ht="15.75" thickBot="1" x14ac:dyDescent="0.3">
      <c r="A190" s="5">
        <v>189</v>
      </c>
      <c r="B190" s="6">
        <v>40552</v>
      </c>
      <c r="C190" s="5">
        <v>1</v>
      </c>
      <c r="D190" s="5">
        <v>0</v>
      </c>
      <c r="E190" s="5">
        <v>1</v>
      </c>
      <c r="F190" s="5">
        <v>3</v>
      </c>
      <c r="G190" s="7" t="b">
        <v>0</v>
      </c>
      <c r="H190" s="5">
        <v>0</v>
      </c>
      <c r="I190" s="5">
        <v>1</v>
      </c>
      <c r="J190" s="5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  <c r="Q190" t="s">
        <v>47</v>
      </c>
      <c r="R190" t="s">
        <v>22</v>
      </c>
      <c r="S190" s="8" t="str">
        <f t="shared" si="6"/>
        <v>Normal</v>
      </c>
      <c r="T190" s="8" t="str">
        <f t="shared" si="7"/>
        <v>Low</v>
      </c>
      <c r="U190" s="8" t="str">
        <f t="shared" si="8"/>
        <v>Night</v>
      </c>
      <c r="V190" s="8"/>
      <c r="W190" s="8"/>
    </row>
    <row r="191" spans="1:23" ht="15.75" thickBot="1" x14ac:dyDescent="0.3">
      <c r="A191" s="5">
        <v>190</v>
      </c>
      <c r="B191" s="6">
        <v>40552</v>
      </c>
      <c r="C191" s="5">
        <v>1</v>
      </c>
      <c r="D191" s="5">
        <v>0</v>
      </c>
      <c r="E191" s="5">
        <v>1</v>
      </c>
      <c r="F191" s="5">
        <v>4</v>
      </c>
      <c r="G191" s="7" t="b">
        <v>0</v>
      </c>
      <c r="H191" s="5">
        <v>0</v>
      </c>
      <c r="I191" s="5">
        <v>1</v>
      </c>
      <c r="J191" s="5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  <c r="Q191" t="s">
        <v>47</v>
      </c>
      <c r="R191" t="s">
        <v>22</v>
      </c>
      <c r="S191" s="8" t="str">
        <f t="shared" si="6"/>
        <v>Normal</v>
      </c>
      <c r="T191" s="8" t="str">
        <f t="shared" si="7"/>
        <v>Low</v>
      </c>
      <c r="U191" s="8" t="str">
        <f t="shared" si="8"/>
        <v>Night</v>
      </c>
      <c r="V191" s="8"/>
      <c r="W191" s="8"/>
    </row>
    <row r="192" spans="1:23" ht="15.75" thickBot="1" x14ac:dyDescent="0.3">
      <c r="A192" s="5">
        <v>191</v>
      </c>
      <c r="B192" s="6">
        <v>40552</v>
      </c>
      <c r="C192" s="5">
        <v>1</v>
      </c>
      <c r="D192" s="5">
        <v>0</v>
      </c>
      <c r="E192" s="5">
        <v>1</v>
      </c>
      <c r="F192" s="5">
        <v>5</v>
      </c>
      <c r="G192" s="7" t="b">
        <v>0</v>
      </c>
      <c r="H192" s="5">
        <v>0</v>
      </c>
      <c r="I192" s="5">
        <v>1</v>
      </c>
      <c r="J192" s="5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  <c r="Q192" t="s">
        <v>47</v>
      </c>
      <c r="R192" t="s">
        <v>22</v>
      </c>
      <c r="S192" s="8" t="str">
        <f t="shared" si="6"/>
        <v>Normal</v>
      </c>
      <c r="T192" s="8" t="str">
        <f t="shared" si="7"/>
        <v>Low</v>
      </c>
      <c r="U192" s="8" t="str">
        <f t="shared" si="8"/>
        <v>Night</v>
      </c>
      <c r="V192" s="8"/>
      <c r="W192" s="8"/>
    </row>
    <row r="193" spans="1:23" ht="15.75" thickBot="1" x14ac:dyDescent="0.3">
      <c r="A193" s="5">
        <v>192</v>
      </c>
      <c r="B193" s="6">
        <v>40552</v>
      </c>
      <c r="C193" s="5">
        <v>1</v>
      </c>
      <c r="D193" s="5">
        <v>0</v>
      </c>
      <c r="E193" s="5">
        <v>1</v>
      </c>
      <c r="F193" s="5">
        <v>6</v>
      </c>
      <c r="G193" s="7" t="b">
        <v>0</v>
      </c>
      <c r="H193" s="5">
        <v>0</v>
      </c>
      <c r="I193" s="5">
        <v>1</v>
      </c>
      <c r="J193" s="5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  <c r="Q193" t="s">
        <v>47</v>
      </c>
      <c r="R193" t="s">
        <v>22</v>
      </c>
      <c r="S193" s="8" t="str">
        <f t="shared" si="6"/>
        <v>Normal</v>
      </c>
      <c r="T193" s="8" t="str">
        <f t="shared" si="7"/>
        <v>Low</v>
      </c>
      <c r="U193" s="8" t="str">
        <f t="shared" si="8"/>
        <v>Morning</v>
      </c>
      <c r="V193" s="8"/>
      <c r="W193" s="8"/>
    </row>
    <row r="194" spans="1:23" ht="15.75" thickBot="1" x14ac:dyDescent="0.3">
      <c r="A194" s="5">
        <v>193</v>
      </c>
      <c r="B194" s="6">
        <v>40552</v>
      </c>
      <c r="C194" s="5">
        <v>1</v>
      </c>
      <c r="D194" s="5">
        <v>0</v>
      </c>
      <c r="E194" s="5">
        <v>1</v>
      </c>
      <c r="F194" s="5">
        <v>7</v>
      </c>
      <c r="G194" s="7" t="b">
        <v>0</v>
      </c>
      <c r="H194" s="5">
        <v>0</v>
      </c>
      <c r="I194" s="5">
        <v>1</v>
      </c>
      <c r="J194" s="5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  <c r="Q194" t="s">
        <v>47</v>
      </c>
      <c r="R194" t="s">
        <v>22</v>
      </c>
      <c r="S194" s="8" t="str">
        <f t="shared" si="6"/>
        <v>Rush Hour</v>
      </c>
      <c r="T194" s="8" t="str">
        <f t="shared" si="7"/>
        <v>Low</v>
      </c>
      <c r="U194" s="8" t="str">
        <f t="shared" si="8"/>
        <v>Morning</v>
      </c>
      <c r="V194" s="8"/>
      <c r="W194" s="8"/>
    </row>
    <row r="195" spans="1:23" ht="15.75" thickBot="1" x14ac:dyDescent="0.3">
      <c r="A195" s="5">
        <v>194</v>
      </c>
      <c r="B195" s="6">
        <v>40552</v>
      </c>
      <c r="C195" s="5">
        <v>1</v>
      </c>
      <c r="D195" s="5">
        <v>0</v>
      </c>
      <c r="E195" s="5">
        <v>1</v>
      </c>
      <c r="F195" s="5">
        <v>8</v>
      </c>
      <c r="G195" s="7" t="b">
        <v>0</v>
      </c>
      <c r="H195" s="5">
        <v>0</v>
      </c>
      <c r="I195" s="5">
        <v>1</v>
      </c>
      <c r="J195" s="5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  <c r="Q195" t="s">
        <v>47</v>
      </c>
      <c r="R195" t="s">
        <v>22</v>
      </c>
      <c r="S195" s="8" t="str">
        <f t="shared" ref="S195:S258" si="9">IF(OR(AND(F195&gt;=7,F195&lt;=9),AND(F195&gt;=17,F195&lt;=19)),"Rush Hour","Normal")</f>
        <v>Rush Hour</v>
      </c>
      <c r="T195" s="8" t="str">
        <f t="shared" ref="T195:T258" si="10">IF(P195&gt;150,"High",IF(P195&gt;50,"Medium","Low"))</f>
        <v>Low</v>
      </c>
      <c r="U195" s="8" t="str">
        <f t="shared" ref="U195:U258" si="11">IF(F195&lt;6,"Night", IF(F195&lt;12,"Morning", IF(F195&lt;18,"Afternoon","Evening")))</f>
        <v>Morning</v>
      </c>
      <c r="V195" s="8"/>
      <c r="W195" s="8"/>
    </row>
    <row r="196" spans="1:23" ht="15.75" thickBot="1" x14ac:dyDescent="0.3">
      <c r="A196" s="5">
        <v>195</v>
      </c>
      <c r="B196" s="6">
        <v>40552</v>
      </c>
      <c r="C196" s="5">
        <v>1</v>
      </c>
      <c r="D196" s="5">
        <v>0</v>
      </c>
      <c r="E196" s="5">
        <v>1</v>
      </c>
      <c r="F196" s="5">
        <v>9</v>
      </c>
      <c r="G196" s="7" t="b">
        <v>0</v>
      </c>
      <c r="H196" s="5">
        <v>0</v>
      </c>
      <c r="I196" s="5">
        <v>1</v>
      </c>
      <c r="J196" s="5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  <c r="Q196" t="s">
        <v>47</v>
      </c>
      <c r="R196" t="s">
        <v>22</v>
      </c>
      <c r="S196" s="8" t="str">
        <f t="shared" si="9"/>
        <v>Rush Hour</v>
      </c>
      <c r="T196" s="8" t="str">
        <f t="shared" si="10"/>
        <v>Low</v>
      </c>
      <c r="U196" s="8" t="str">
        <f t="shared" si="11"/>
        <v>Morning</v>
      </c>
      <c r="V196" s="8"/>
      <c r="W196" s="8"/>
    </row>
    <row r="197" spans="1:23" ht="15.75" thickBot="1" x14ac:dyDescent="0.3">
      <c r="A197" s="5">
        <v>196</v>
      </c>
      <c r="B197" s="6">
        <v>40552</v>
      </c>
      <c r="C197" s="5">
        <v>1</v>
      </c>
      <c r="D197" s="5">
        <v>0</v>
      </c>
      <c r="E197" s="5">
        <v>1</v>
      </c>
      <c r="F197" s="5">
        <v>10</v>
      </c>
      <c r="G197" s="7" t="b">
        <v>0</v>
      </c>
      <c r="H197" s="5">
        <v>0</v>
      </c>
      <c r="I197" s="5">
        <v>1</v>
      </c>
      <c r="J197" s="5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  <c r="Q197" t="s">
        <v>47</v>
      </c>
      <c r="R197" t="s">
        <v>22</v>
      </c>
      <c r="S197" s="8" t="str">
        <f t="shared" si="9"/>
        <v>Normal</v>
      </c>
      <c r="T197" s="8" t="str">
        <f t="shared" si="10"/>
        <v>Low</v>
      </c>
      <c r="U197" s="8" t="str">
        <f t="shared" si="11"/>
        <v>Morning</v>
      </c>
      <c r="V197" s="8"/>
      <c r="W197" s="8"/>
    </row>
    <row r="198" spans="1:23" ht="15.75" thickBot="1" x14ac:dyDescent="0.3">
      <c r="A198" s="5">
        <v>197</v>
      </c>
      <c r="B198" s="6">
        <v>40552</v>
      </c>
      <c r="C198" s="5">
        <v>1</v>
      </c>
      <c r="D198" s="5">
        <v>0</v>
      </c>
      <c r="E198" s="5">
        <v>1</v>
      </c>
      <c r="F198" s="5">
        <v>11</v>
      </c>
      <c r="G198" s="7" t="b">
        <v>0</v>
      </c>
      <c r="H198" s="5">
        <v>0</v>
      </c>
      <c r="I198" s="5">
        <v>1</v>
      </c>
      <c r="J198" s="5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  <c r="Q198" t="s">
        <v>47</v>
      </c>
      <c r="R198" t="s">
        <v>22</v>
      </c>
      <c r="S198" s="8" t="str">
        <f t="shared" si="9"/>
        <v>Normal</v>
      </c>
      <c r="T198" s="8" t="str">
        <f t="shared" si="10"/>
        <v>Low</v>
      </c>
      <c r="U198" s="8" t="str">
        <f t="shared" si="11"/>
        <v>Morning</v>
      </c>
      <c r="V198" s="8"/>
      <c r="W198" s="8"/>
    </row>
    <row r="199" spans="1:23" ht="15.75" thickBot="1" x14ac:dyDescent="0.3">
      <c r="A199" s="5">
        <v>198</v>
      </c>
      <c r="B199" s="6">
        <v>40552</v>
      </c>
      <c r="C199" s="5">
        <v>1</v>
      </c>
      <c r="D199" s="5">
        <v>0</v>
      </c>
      <c r="E199" s="5">
        <v>1</v>
      </c>
      <c r="F199" s="5">
        <v>12</v>
      </c>
      <c r="G199" s="7" t="b">
        <v>0</v>
      </c>
      <c r="H199" s="5">
        <v>0</v>
      </c>
      <c r="I199" s="5">
        <v>1</v>
      </c>
      <c r="J199" s="5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  <c r="Q199" t="s">
        <v>47</v>
      </c>
      <c r="R199" t="s">
        <v>22</v>
      </c>
      <c r="S199" s="8" t="str">
        <f t="shared" si="9"/>
        <v>Normal</v>
      </c>
      <c r="T199" s="8" t="str">
        <f t="shared" si="10"/>
        <v>Medium</v>
      </c>
      <c r="U199" s="8" t="str">
        <f t="shared" si="11"/>
        <v>Afternoon</v>
      </c>
      <c r="V199" s="8"/>
      <c r="W199" s="8"/>
    </row>
    <row r="200" spans="1:23" ht="15.75" thickBot="1" x14ac:dyDescent="0.3">
      <c r="A200" s="5">
        <v>199</v>
      </c>
      <c r="B200" s="6">
        <v>40552</v>
      </c>
      <c r="C200" s="5">
        <v>1</v>
      </c>
      <c r="D200" s="5">
        <v>0</v>
      </c>
      <c r="E200" s="5">
        <v>1</v>
      </c>
      <c r="F200" s="5">
        <v>13</v>
      </c>
      <c r="G200" s="7" t="b">
        <v>0</v>
      </c>
      <c r="H200" s="5">
        <v>0</v>
      </c>
      <c r="I200" s="5">
        <v>1</v>
      </c>
      <c r="J200" s="5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  <c r="Q200" t="s">
        <v>47</v>
      </c>
      <c r="R200" t="s">
        <v>22</v>
      </c>
      <c r="S200" s="8" t="str">
        <f t="shared" si="9"/>
        <v>Normal</v>
      </c>
      <c r="T200" s="8" t="str">
        <f t="shared" si="10"/>
        <v>Medium</v>
      </c>
      <c r="U200" s="8" t="str">
        <f t="shared" si="11"/>
        <v>Afternoon</v>
      </c>
      <c r="V200" s="8"/>
      <c r="W200" s="8"/>
    </row>
    <row r="201" spans="1:23" ht="15.75" thickBot="1" x14ac:dyDescent="0.3">
      <c r="A201" s="5">
        <v>200</v>
      </c>
      <c r="B201" s="6">
        <v>40552</v>
      </c>
      <c r="C201" s="5">
        <v>1</v>
      </c>
      <c r="D201" s="5">
        <v>0</v>
      </c>
      <c r="E201" s="5">
        <v>1</v>
      </c>
      <c r="F201" s="5">
        <v>14</v>
      </c>
      <c r="G201" s="7" t="b">
        <v>0</v>
      </c>
      <c r="H201" s="5">
        <v>0</v>
      </c>
      <c r="I201" s="5">
        <v>1</v>
      </c>
      <c r="J201" s="5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  <c r="Q201" t="s">
        <v>47</v>
      </c>
      <c r="R201" t="s">
        <v>22</v>
      </c>
      <c r="S201" s="8" t="str">
        <f t="shared" si="9"/>
        <v>Normal</v>
      </c>
      <c r="T201" s="8" t="str">
        <f t="shared" si="10"/>
        <v>Medium</v>
      </c>
      <c r="U201" s="8" t="str">
        <f t="shared" si="11"/>
        <v>Afternoon</v>
      </c>
      <c r="V201" s="8"/>
      <c r="W201" s="8"/>
    </row>
    <row r="202" spans="1:23" ht="15.75" thickBot="1" x14ac:dyDescent="0.3">
      <c r="A202" s="5">
        <v>201</v>
      </c>
      <c r="B202" s="6">
        <v>40552</v>
      </c>
      <c r="C202" s="5">
        <v>1</v>
      </c>
      <c r="D202" s="5">
        <v>0</v>
      </c>
      <c r="E202" s="5">
        <v>1</v>
      </c>
      <c r="F202" s="5">
        <v>15</v>
      </c>
      <c r="G202" s="7" t="b">
        <v>0</v>
      </c>
      <c r="H202" s="5">
        <v>0</v>
      </c>
      <c r="I202" s="5">
        <v>1</v>
      </c>
      <c r="J202" s="5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  <c r="Q202" t="s">
        <v>47</v>
      </c>
      <c r="R202" t="s">
        <v>22</v>
      </c>
      <c r="S202" s="8" t="str">
        <f t="shared" si="9"/>
        <v>Normal</v>
      </c>
      <c r="T202" s="8" t="str">
        <f t="shared" si="10"/>
        <v>Medium</v>
      </c>
      <c r="U202" s="8" t="str">
        <f t="shared" si="11"/>
        <v>Afternoon</v>
      </c>
      <c r="V202" s="8"/>
      <c r="W202" s="8"/>
    </row>
    <row r="203" spans="1:23" ht="15.75" thickBot="1" x14ac:dyDescent="0.3">
      <c r="A203" s="5">
        <v>202</v>
      </c>
      <c r="B203" s="6">
        <v>40552</v>
      </c>
      <c r="C203" s="5">
        <v>1</v>
      </c>
      <c r="D203" s="5">
        <v>0</v>
      </c>
      <c r="E203" s="5">
        <v>1</v>
      </c>
      <c r="F203" s="5">
        <v>16</v>
      </c>
      <c r="G203" s="7" t="b">
        <v>0</v>
      </c>
      <c r="H203" s="5">
        <v>0</v>
      </c>
      <c r="I203" s="5">
        <v>1</v>
      </c>
      <c r="J203" s="5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  <c r="Q203" t="s">
        <v>47</v>
      </c>
      <c r="R203" t="s">
        <v>22</v>
      </c>
      <c r="S203" s="8" t="str">
        <f t="shared" si="9"/>
        <v>Normal</v>
      </c>
      <c r="T203" s="8" t="str">
        <f t="shared" si="10"/>
        <v>Medium</v>
      </c>
      <c r="U203" s="8" t="str">
        <f t="shared" si="11"/>
        <v>Afternoon</v>
      </c>
      <c r="V203" s="8"/>
      <c r="W203" s="8"/>
    </row>
    <row r="204" spans="1:23" ht="15.75" thickBot="1" x14ac:dyDescent="0.3">
      <c r="A204" s="5">
        <v>203</v>
      </c>
      <c r="B204" s="6">
        <v>40552</v>
      </c>
      <c r="C204" s="5">
        <v>1</v>
      </c>
      <c r="D204" s="5">
        <v>0</v>
      </c>
      <c r="E204" s="5">
        <v>1</v>
      </c>
      <c r="F204" s="5">
        <v>17</v>
      </c>
      <c r="G204" s="7" t="b">
        <v>0</v>
      </c>
      <c r="H204" s="5">
        <v>0</v>
      </c>
      <c r="I204" s="5">
        <v>1</v>
      </c>
      <c r="J204" s="5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  <c r="Q204" t="s">
        <v>47</v>
      </c>
      <c r="R204" t="s">
        <v>22</v>
      </c>
      <c r="S204" s="8" t="str">
        <f t="shared" si="9"/>
        <v>Rush Hour</v>
      </c>
      <c r="T204" s="8" t="str">
        <f t="shared" si="10"/>
        <v>Medium</v>
      </c>
      <c r="U204" s="8" t="str">
        <f t="shared" si="11"/>
        <v>Afternoon</v>
      </c>
      <c r="V204" s="8"/>
      <c r="W204" s="8"/>
    </row>
    <row r="205" spans="1:23" ht="15.75" thickBot="1" x14ac:dyDescent="0.3">
      <c r="A205" s="5">
        <v>204</v>
      </c>
      <c r="B205" s="6">
        <v>40552</v>
      </c>
      <c r="C205" s="5">
        <v>1</v>
      </c>
      <c r="D205" s="5">
        <v>0</v>
      </c>
      <c r="E205" s="5">
        <v>1</v>
      </c>
      <c r="F205" s="5">
        <v>18</v>
      </c>
      <c r="G205" s="7" t="b">
        <v>0</v>
      </c>
      <c r="H205" s="5">
        <v>0</v>
      </c>
      <c r="I205" s="5">
        <v>1</v>
      </c>
      <c r="J205" s="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  <c r="Q205" t="s">
        <v>47</v>
      </c>
      <c r="R205" t="s">
        <v>22</v>
      </c>
      <c r="S205" s="8" t="str">
        <f t="shared" si="9"/>
        <v>Rush Hour</v>
      </c>
      <c r="T205" s="8" t="str">
        <f t="shared" si="10"/>
        <v>Low</v>
      </c>
      <c r="U205" s="8" t="str">
        <f t="shared" si="11"/>
        <v>Evening</v>
      </c>
      <c r="V205" s="8"/>
      <c r="W205" s="8"/>
    </row>
    <row r="206" spans="1:23" ht="15.75" thickBot="1" x14ac:dyDescent="0.3">
      <c r="A206" s="5">
        <v>205</v>
      </c>
      <c r="B206" s="6">
        <v>40552</v>
      </c>
      <c r="C206" s="5">
        <v>1</v>
      </c>
      <c r="D206" s="5">
        <v>0</v>
      </c>
      <c r="E206" s="5">
        <v>1</v>
      </c>
      <c r="F206" s="5">
        <v>19</v>
      </c>
      <c r="G206" s="7" t="b">
        <v>0</v>
      </c>
      <c r="H206" s="5">
        <v>0</v>
      </c>
      <c r="I206" s="5">
        <v>1</v>
      </c>
      <c r="J206" s="5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  <c r="Q206" t="s">
        <v>47</v>
      </c>
      <c r="R206" t="s">
        <v>22</v>
      </c>
      <c r="S206" s="8" t="str">
        <f t="shared" si="9"/>
        <v>Rush Hour</v>
      </c>
      <c r="T206" s="8" t="str">
        <f t="shared" si="10"/>
        <v>Low</v>
      </c>
      <c r="U206" s="8" t="str">
        <f t="shared" si="11"/>
        <v>Evening</v>
      </c>
      <c r="V206" s="8"/>
      <c r="W206" s="8"/>
    </row>
    <row r="207" spans="1:23" ht="15.75" thickBot="1" x14ac:dyDescent="0.3">
      <c r="A207" s="5">
        <v>206</v>
      </c>
      <c r="B207" s="6">
        <v>40552</v>
      </c>
      <c r="C207" s="5">
        <v>1</v>
      </c>
      <c r="D207" s="5">
        <v>0</v>
      </c>
      <c r="E207" s="5">
        <v>1</v>
      </c>
      <c r="F207" s="5">
        <v>20</v>
      </c>
      <c r="G207" s="7" t="b">
        <v>0</v>
      </c>
      <c r="H207" s="5">
        <v>0</v>
      </c>
      <c r="I207" s="5">
        <v>1</v>
      </c>
      <c r="J207" s="5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  <c r="Q207" t="s">
        <v>47</v>
      </c>
      <c r="R207" t="s">
        <v>22</v>
      </c>
      <c r="S207" s="8" t="str">
        <f t="shared" si="9"/>
        <v>Normal</v>
      </c>
      <c r="T207" s="8" t="str">
        <f t="shared" si="10"/>
        <v>Low</v>
      </c>
      <c r="U207" s="8" t="str">
        <f t="shared" si="11"/>
        <v>Evening</v>
      </c>
      <c r="V207" s="8"/>
      <c r="W207" s="8"/>
    </row>
    <row r="208" spans="1:23" ht="15.75" thickBot="1" x14ac:dyDescent="0.3">
      <c r="A208" s="5">
        <v>207</v>
      </c>
      <c r="B208" s="6">
        <v>40552</v>
      </c>
      <c r="C208" s="5">
        <v>1</v>
      </c>
      <c r="D208" s="5">
        <v>0</v>
      </c>
      <c r="E208" s="5">
        <v>1</v>
      </c>
      <c r="F208" s="5">
        <v>21</v>
      </c>
      <c r="G208" s="7" t="b">
        <v>0</v>
      </c>
      <c r="H208" s="5">
        <v>0</v>
      </c>
      <c r="I208" s="5">
        <v>1</v>
      </c>
      <c r="J208" s="5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  <c r="Q208" t="s">
        <v>47</v>
      </c>
      <c r="R208" t="s">
        <v>22</v>
      </c>
      <c r="S208" s="8" t="str">
        <f t="shared" si="9"/>
        <v>Normal</v>
      </c>
      <c r="T208" s="8" t="str">
        <f t="shared" si="10"/>
        <v>Low</v>
      </c>
      <c r="U208" s="8" t="str">
        <f t="shared" si="11"/>
        <v>Evening</v>
      </c>
      <c r="V208" s="8"/>
      <c r="W208" s="8"/>
    </row>
    <row r="209" spans="1:23" ht="15.75" thickBot="1" x14ac:dyDescent="0.3">
      <c r="A209" s="5">
        <v>208</v>
      </c>
      <c r="B209" s="6">
        <v>40552</v>
      </c>
      <c r="C209" s="5">
        <v>1</v>
      </c>
      <c r="D209" s="5">
        <v>0</v>
      </c>
      <c r="E209" s="5">
        <v>1</v>
      </c>
      <c r="F209" s="5">
        <v>22</v>
      </c>
      <c r="G209" s="7" t="b">
        <v>0</v>
      </c>
      <c r="H209" s="5">
        <v>0</v>
      </c>
      <c r="I209" s="5">
        <v>1</v>
      </c>
      <c r="J209" s="5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  <c r="Q209" t="s">
        <v>47</v>
      </c>
      <c r="R209" t="s">
        <v>22</v>
      </c>
      <c r="S209" s="8" t="str">
        <f t="shared" si="9"/>
        <v>Normal</v>
      </c>
      <c r="T209" s="8" t="str">
        <f t="shared" si="10"/>
        <v>Low</v>
      </c>
      <c r="U209" s="8" t="str">
        <f t="shared" si="11"/>
        <v>Evening</v>
      </c>
      <c r="V209" s="8"/>
      <c r="W209" s="8"/>
    </row>
    <row r="210" spans="1:23" ht="15.75" thickBot="1" x14ac:dyDescent="0.3">
      <c r="A210" s="5">
        <v>209</v>
      </c>
      <c r="B210" s="6">
        <v>40552</v>
      </c>
      <c r="C210" s="5">
        <v>1</v>
      </c>
      <c r="D210" s="5">
        <v>0</v>
      </c>
      <c r="E210" s="5">
        <v>1</v>
      </c>
      <c r="F210" s="5">
        <v>23</v>
      </c>
      <c r="G210" s="7" t="b">
        <v>0</v>
      </c>
      <c r="H210" s="5">
        <v>0</v>
      </c>
      <c r="I210" s="5">
        <v>1</v>
      </c>
      <c r="J210" s="5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  <c r="Q210" t="s">
        <v>47</v>
      </c>
      <c r="R210" t="s">
        <v>22</v>
      </c>
      <c r="S210" s="8" t="str">
        <f t="shared" si="9"/>
        <v>Normal</v>
      </c>
      <c r="T210" s="8" t="str">
        <f t="shared" si="10"/>
        <v>Low</v>
      </c>
      <c r="U210" s="8" t="str">
        <f t="shared" si="11"/>
        <v>Evening</v>
      </c>
      <c r="V210" s="8"/>
      <c r="W210" s="8"/>
    </row>
    <row r="211" spans="1:23" ht="15.75" thickBot="1" x14ac:dyDescent="0.3">
      <c r="A211" s="5">
        <v>210</v>
      </c>
      <c r="B211" s="6">
        <v>40553</v>
      </c>
      <c r="C211" s="5">
        <v>1</v>
      </c>
      <c r="D211" s="5">
        <v>0</v>
      </c>
      <c r="E211" s="5">
        <v>1</v>
      </c>
      <c r="F211" s="5">
        <v>0</v>
      </c>
      <c r="G211" s="7" t="b">
        <v>0</v>
      </c>
      <c r="H211" s="5">
        <v>1</v>
      </c>
      <c r="I211" s="5">
        <v>1</v>
      </c>
      <c r="J211" s="5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  <c r="Q211" t="s">
        <v>48</v>
      </c>
      <c r="R211" t="s">
        <v>22</v>
      </c>
      <c r="S211" s="8" t="str">
        <f t="shared" si="9"/>
        <v>Normal</v>
      </c>
      <c r="T211" s="8" t="str">
        <f t="shared" si="10"/>
        <v>Low</v>
      </c>
      <c r="U211" s="8" t="str">
        <f t="shared" si="11"/>
        <v>Night</v>
      </c>
      <c r="V211" s="8"/>
      <c r="W211" s="8"/>
    </row>
    <row r="212" spans="1:23" ht="15.75" thickBot="1" x14ac:dyDescent="0.3">
      <c r="A212" s="5">
        <v>211</v>
      </c>
      <c r="B212" s="6">
        <v>40553</v>
      </c>
      <c r="C212" s="5">
        <v>1</v>
      </c>
      <c r="D212" s="5">
        <v>0</v>
      </c>
      <c r="E212" s="5">
        <v>1</v>
      </c>
      <c r="F212" s="5">
        <v>1</v>
      </c>
      <c r="G212" s="7" t="b">
        <v>0</v>
      </c>
      <c r="H212" s="5">
        <v>1</v>
      </c>
      <c r="I212" s="5">
        <v>1</v>
      </c>
      <c r="J212" s="5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  <c r="Q212" t="s">
        <v>48</v>
      </c>
      <c r="R212" t="s">
        <v>22</v>
      </c>
      <c r="S212" s="8" t="str">
        <f t="shared" si="9"/>
        <v>Normal</v>
      </c>
      <c r="T212" s="8" t="str">
        <f t="shared" si="10"/>
        <v>Low</v>
      </c>
      <c r="U212" s="8" t="str">
        <f t="shared" si="11"/>
        <v>Night</v>
      </c>
      <c r="V212" s="8"/>
      <c r="W212" s="8"/>
    </row>
    <row r="213" spans="1:23" ht="15.75" thickBot="1" x14ac:dyDescent="0.3">
      <c r="A213" s="5">
        <v>212</v>
      </c>
      <c r="B213" s="6">
        <v>40553</v>
      </c>
      <c r="C213" s="5">
        <v>1</v>
      </c>
      <c r="D213" s="5">
        <v>0</v>
      </c>
      <c r="E213" s="5">
        <v>1</v>
      </c>
      <c r="F213" s="5">
        <v>2</v>
      </c>
      <c r="G213" s="7" t="b">
        <v>0</v>
      </c>
      <c r="H213" s="5">
        <v>1</v>
      </c>
      <c r="I213" s="5">
        <v>1</v>
      </c>
      <c r="J213" s="5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  <c r="Q213" t="s">
        <v>48</v>
      </c>
      <c r="R213" t="s">
        <v>22</v>
      </c>
      <c r="S213" s="8" t="str">
        <f t="shared" si="9"/>
        <v>Normal</v>
      </c>
      <c r="T213" s="8" t="str">
        <f t="shared" si="10"/>
        <v>Low</v>
      </c>
      <c r="U213" s="8" t="str">
        <f t="shared" si="11"/>
        <v>Night</v>
      </c>
      <c r="V213" s="8"/>
      <c r="W213" s="8"/>
    </row>
    <row r="214" spans="1:23" ht="15.75" thickBot="1" x14ac:dyDescent="0.3">
      <c r="A214" s="5">
        <v>213</v>
      </c>
      <c r="B214" s="6">
        <v>40553</v>
      </c>
      <c r="C214" s="5">
        <v>1</v>
      </c>
      <c r="D214" s="5">
        <v>0</v>
      </c>
      <c r="E214" s="5">
        <v>1</v>
      </c>
      <c r="F214" s="5">
        <v>3</v>
      </c>
      <c r="G214" s="7" t="b">
        <v>0</v>
      </c>
      <c r="H214" s="5">
        <v>1</v>
      </c>
      <c r="I214" s="5">
        <v>1</v>
      </c>
      <c r="J214" s="5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  <c r="Q214" t="s">
        <v>48</v>
      </c>
      <c r="R214" t="s">
        <v>22</v>
      </c>
      <c r="S214" s="8" t="str">
        <f t="shared" si="9"/>
        <v>Normal</v>
      </c>
      <c r="T214" s="8" t="str">
        <f t="shared" si="10"/>
        <v>Low</v>
      </c>
      <c r="U214" s="8" t="str">
        <f t="shared" si="11"/>
        <v>Night</v>
      </c>
      <c r="V214" s="8"/>
      <c r="W214" s="8"/>
    </row>
    <row r="215" spans="1:23" ht="15.75" thickBot="1" x14ac:dyDescent="0.3">
      <c r="A215" s="5">
        <v>214</v>
      </c>
      <c r="B215" s="6">
        <v>40553</v>
      </c>
      <c r="C215" s="5">
        <v>1</v>
      </c>
      <c r="D215" s="5">
        <v>0</v>
      </c>
      <c r="E215" s="5">
        <v>1</v>
      </c>
      <c r="F215" s="5">
        <v>4</v>
      </c>
      <c r="G215" s="7" t="b">
        <v>0</v>
      </c>
      <c r="H215" s="5">
        <v>1</v>
      </c>
      <c r="I215" s="5">
        <v>1</v>
      </c>
      <c r="J215" s="5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  <c r="Q215" t="s">
        <v>48</v>
      </c>
      <c r="R215" t="s">
        <v>22</v>
      </c>
      <c r="S215" s="8" t="str">
        <f t="shared" si="9"/>
        <v>Normal</v>
      </c>
      <c r="T215" s="8" t="str">
        <f t="shared" si="10"/>
        <v>Low</v>
      </c>
      <c r="U215" s="8" t="str">
        <f t="shared" si="11"/>
        <v>Night</v>
      </c>
      <c r="V215" s="8"/>
      <c r="W215" s="8"/>
    </row>
    <row r="216" spans="1:23" ht="15.75" thickBot="1" x14ac:dyDescent="0.3">
      <c r="A216" s="5">
        <v>215</v>
      </c>
      <c r="B216" s="6">
        <v>40553</v>
      </c>
      <c r="C216" s="5">
        <v>1</v>
      </c>
      <c r="D216" s="5">
        <v>0</v>
      </c>
      <c r="E216" s="5">
        <v>1</v>
      </c>
      <c r="F216" s="5">
        <v>5</v>
      </c>
      <c r="G216" s="7" t="b">
        <v>0</v>
      </c>
      <c r="H216" s="5">
        <v>1</v>
      </c>
      <c r="I216" s="5">
        <v>1</v>
      </c>
      <c r="J216" s="5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  <c r="Q216" t="s">
        <v>48</v>
      </c>
      <c r="R216" t="s">
        <v>22</v>
      </c>
      <c r="S216" s="8" t="str">
        <f t="shared" si="9"/>
        <v>Normal</v>
      </c>
      <c r="T216" s="8" t="str">
        <f t="shared" si="10"/>
        <v>Low</v>
      </c>
      <c r="U216" s="8" t="str">
        <f t="shared" si="11"/>
        <v>Night</v>
      </c>
      <c r="V216" s="8"/>
      <c r="W216" s="8"/>
    </row>
    <row r="217" spans="1:23" ht="15.75" thickBot="1" x14ac:dyDescent="0.3">
      <c r="A217" s="5">
        <v>216</v>
      </c>
      <c r="B217" s="6">
        <v>40553</v>
      </c>
      <c r="C217" s="5">
        <v>1</v>
      </c>
      <c r="D217" s="5">
        <v>0</v>
      </c>
      <c r="E217" s="5">
        <v>1</v>
      </c>
      <c r="F217" s="5">
        <v>6</v>
      </c>
      <c r="G217" s="7" t="b">
        <v>0</v>
      </c>
      <c r="H217" s="5">
        <v>1</v>
      </c>
      <c r="I217" s="5">
        <v>1</v>
      </c>
      <c r="J217" s="5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  <c r="Q217" t="s">
        <v>48</v>
      </c>
      <c r="R217" t="s">
        <v>22</v>
      </c>
      <c r="S217" s="8" t="str">
        <f t="shared" si="9"/>
        <v>Normal</v>
      </c>
      <c r="T217" s="8" t="str">
        <f t="shared" si="10"/>
        <v>Low</v>
      </c>
      <c r="U217" s="8" t="str">
        <f t="shared" si="11"/>
        <v>Morning</v>
      </c>
      <c r="V217" s="8"/>
      <c r="W217" s="8"/>
    </row>
    <row r="218" spans="1:23" ht="15.75" thickBot="1" x14ac:dyDescent="0.3">
      <c r="A218" s="5">
        <v>217</v>
      </c>
      <c r="B218" s="6">
        <v>40553</v>
      </c>
      <c r="C218" s="5">
        <v>1</v>
      </c>
      <c r="D218" s="5">
        <v>0</v>
      </c>
      <c r="E218" s="5">
        <v>1</v>
      </c>
      <c r="F218" s="5">
        <v>7</v>
      </c>
      <c r="G218" s="7" t="b">
        <v>0</v>
      </c>
      <c r="H218" s="5">
        <v>1</v>
      </c>
      <c r="I218" s="5">
        <v>1</v>
      </c>
      <c r="J218" s="5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  <c r="Q218" t="s">
        <v>48</v>
      </c>
      <c r="R218" t="s">
        <v>22</v>
      </c>
      <c r="S218" s="8" t="str">
        <f t="shared" si="9"/>
        <v>Rush Hour</v>
      </c>
      <c r="T218" s="8" t="str">
        <f t="shared" si="10"/>
        <v>Medium</v>
      </c>
      <c r="U218" s="8" t="str">
        <f t="shared" si="11"/>
        <v>Morning</v>
      </c>
      <c r="V218" s="8"/>
      <c r="W218" s="8"/>
    </row>
    <row r="219" spans="1:23" ht="15.75" thickBot="1" x14ac:dyDescent="0.3">
      <c r="A219" s="5">
        <v>218</v>
      </c>
      <c r="B219" s="6">
        <v>40553</v>
      </c>
      <c r="C219" s="5">
        <v>1</v>
      </c>
      <c r="D219" s="5">
        <v>0</v>
      </c>
      <c r="E219" s="5">
        <v>1</v>
      </c>
      <c r="F219" s="5">
        <v>8</v>
      </c>
      <c r="G219" s="7" t="b">
        <v>0</v>
      </c>
      <c r="H219" s="5">
        <v>1</v>
      </c>
      <c r="I219" s="5">
        <v>2</v>
      </c>
      <c r="J219" s="5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  <c r="Q219" t="s">
        <v>48</v>
      </c>
      <c r="R219" t="s">
        <v>26</v>
      </c>
      <c r="S219" s="8" t="str">
        <f t="shared" si="9"/>
        <v>Rush Hour</v>
      </c>
      <c r="T219" s="8" t="str">
        <f t="shared" si="10"/>
        <v>High</v>
      </c>
      <c r="U219" s="8" t="str">
        <f t="shared" si="11"/>
        <v>Morning</v>
      </c>
      <c r="V219" s="8"/>
      <c r="W219" s="8"/>
    </row>
    <row r="220" spans="1:23" ht="15.75" thickBot="1" x14ac:dyDescent="0.3">
      <c r="A220" s="5">
        <v>219</v>
      </c>
      <c r="B220" s="6">
        <v>40553</v>
      </c>
      <c r="C220" s="5">
        <v>1</v>
      </c>
      <c r="D220" s="5">
        <v>0</v>
      </c>
      <c r="E220" s="5">
        <v>1</v>
      </c>
      <c r="F220" s="5">
        <v>9</v>
      </c>
      <c r="G220" s="7" t="b">
        <v>0</v>
      </c>
      <c r="H220" s="5">
        <v>1</v>
      </c>
      <c r="I220" s="5">
        <v>2</v>
      </c>
      <c r="J220" s="5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  <c r="Q220" t="s">
        <v>48</v>
      </c>
      <c r="R220" t="s">
        <v>26</v>
      </c>
      <c r="S220" s="8" t="str">
        <f t="shared" si="9"/>
        <v>Rush Hour</v>
      </c>
      <c r="T220" s="8" t="str">
        <f t="shared" si="10"/>
        <v>Medium</v>
      </c>
      <c r="U220" s="8" t="str">
        <f t="shared" si="11"/>
        <v>Morning</v>
      </c>
      <c r="V220" s="8"/>
      <c r="W220" s="8"/>
    </row>
    <row r="221" spans="1:23" ht="15.75" thickBot="1" x14ac:dyDescent="0.3">
      <c r="A221" s="5">
        <v>220</v>
      </c>
      <c r="B221" s="6">
        <v>40553</v>
      </c>
      <c r="C221" s="5">
        <v>1</v>
      </c>
      <c r="D221" s="5">
        <v>0</v>
      </c>
      <c r="E221" s="5">
        <v>1</v>
      </c>
      <c r="F221" s="5">
        <v>10</v>
      </c>
      <c r="G221" s="7" t="b">
        <v>0</v>
      </c>
      <c r="H221" s="5">
        <v>1</v>
      </c>
      <c r="I221" s="5">
        <v>2</v>
      </c>
      <c r="J221" s="5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  <c r="Q221" t="s">
        <v>48</v>
      </c>
      <c r="R221" t="s">
        <v>26</v>
      </c>
      <c r="S221" s="8" t="str">
        <f t="shared" si="9"/>
        <v>Normal</v>
      </c>
      <c r="T221" s="8" t="str">
        <f t="shared" si="10"/>
        <v>Low</v>
      </c>
      <c r="U221" s="8" t="str">
        <f t="shared" si="11"/>
        <v>Morning</v>
      </c>
      <c r="V221" s="8"/>
      <c r="W221" s="8"/>
    </row>
    <row r="222" spans="1:23" ht="15.75" thickBot="1" x14ac:dyDescent="0.3">
      <c r="A222" s="5">
        <v>221</v>
      </c>
      <c r="B222" s="6">
        <v>40553</v>
      </c>
      <c r="C222" s="5">
        <v>1</v>
      </c>
      <c r="D222" s="5">
        <v>0</v>
      </c>
      <c r="E222" s="5">
        <v>1</v>
      </c>
      <c r="F222" s="5">
        <v>11</v>
      </c>
      <c r="G222" s="7" t="b">
        <v>0</v>
      </c>
      <c r="H222" s="5">
        <v>1</v>
      </c>
      <c r="I222" s="5">
        <v>2</v>
      </c>
      <c r="J222" s="5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  <c r="Q222" t="s">
        <v>48</v>
      </c>
      <c r="R222" t="s">
        <v>26</v>
      </c>
      <c r="S222" s="8" t="str">
        <f t="shared" si="9"/>
        <v>Normal</v>
      </c>
      <c r="T222" s="8" t="str">
        <f t="shared" si="10"/>
        <v>Low</v>
      </c>
      <c r="U222" s="8" t="str">
        <f t="shared" si="11"/>
        <v>Morning</v>
      </c>
      <c r="V222" s="8"/>
      <c r="W222" s="8"/>
    </row>
    <row r="223" spans="1:23" ht="15.75" thickBot="1" x14ac:dyDescent="0.3">
      <c r="A223" s="5">
        <v>222</v>
      </c>
      <c r="B223" s="6">
        <v>40553</v>
      </c>
      <c r="C223" s="5">
        <v>1</v>
      </c>
      <c r="D223" s="5">
        <v>0</v>
      </c>
      <c r="E223" s="5">
        <v>1</v>
      </c>
      <c r="F223" s="5">
        <v>12</v>
      </c>
      <c r="G223" s="7" t="b">
        <v>0</v>
      </c>
      <c r="H223" s="5">
        <v>1</v>
      </c>
      <c r="I223" s="5">
        <v>2</v>
      </c>
      <c r="J223" s="5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  <c r="Q223" t="s">
        <v>48</v>
      </c>
      <c r="R223" t="s">
        <v>26</v>
      </c>
      <c r="S223" s="8" t="str">
        <f t="shared" si="9"/>
        <v>Normal</v>
      </c>
      <c r="T223" s="8" t="str">
        <f t="shared" si="10"/>
        <v>Medium</v>
      </c>
      <c r="U223" s="8" t="str">
        <f t="shared" si="11"/>
        <v>Afternoon</v>
      </c>
      <c r="V223" s="8"/>
      <c r="W223" s="8"/>
    </row>
    <row r="224" spans="1:23" ht="15.75" thickBot="1" x14ac:dyDescent="0.3">
      <c r="A224" s="5">
        <v>223</v>
      </c>
      <c r="B224" s="6">
        <v>40553</v>
      </c>
      <c r="C224" s="5">
        <v>1</v>
      </c>
      <c r="D224" s="5">
        <v>0</v>
      </c>
      <c r="E224" s="5">
        <v>1</v>
      </c>
      <c r="F224" s="5">
        <v>13</v>
      </c>
      <c r="G224" s="7" t="b">
        <v>0</v>
      </c>
      <c r="H224" s="5">
        <v>1</v>
      </c>
      <c r="I224" s="5">
        <v>2</v>
      </c>
      <c r="J224" s="5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  <c r="Q224" t="s">
        <v>48</v>
      </c>
      <c r="R224" t="s">
        <v>26</v>
      </c>
      <c r="S224" s="8" t="str">
        <f t="shared" si="9"/>
        <v>Normal</v>
      </c>
      <c r="T224" s="8" t="str">
        <f t="shared" si="10"/>
        <v>Medium</v>
      </c>
      <c r="U224" s="8" t="str">
        <f t="shared" si="11"/>
        <v>Afternoon</v>
      </c>
      <c r="V224" s="8"/>
      <c r="W224" s="8"/>
    </row>
    <row r="225" spans="1:23" ht="15.75" thickBot="1" x14ac:dyDescent="0.3">
      <c r="A225" s="5">
        <v>224</v>
      </c>
      <c r="B225" s="6">
        <v>40553</v>
      </c>
      <c r="C225" s="5">
        <v>1</v>
      </c>
      <c r="D225" s="5">
        <v>0</v>
      </c>
      <c r="E225" s="5">
        <v>1</v>
      </c>
      <c r="F225" s="5">
        <v>14</v>
      </c>
      <c r="G225" s="7" t="b">
        <v>0</v>
      </c>
      <c r="H225" s="5">
        <v>1</v>
      </c>
      <c r="I225" s="5">
        <v>2</v>
      </c>
      <c r="J225" s="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  <c r="Q225" t="s">
        <v>48</v>
      </c>
      <c r="R225" t="s">
        <v>26</v>
      </c>
      <c r="S225" s="8" t="str">
        <f t="shared" si="9"/>
        <v>Normal</v>
      </c>
      <c r="T225" s="8" t="str">
        <f t="shared" si="10"/>
        <v>Low</v>
      </c>
      <c r="U225" s="8" t="str">
        <f t="shared" si="11"/>
        <v>Afternoon</v>
      </c>
      <c r="V225" s="8"/>
      <c r="W225" s="8"/>
    </row>
    <row r="226" spans="1:23" ht="15.75" thickBot="1" x14ac:dyDescent="0.3">
      <c r="A226" s="5">
        <v>225</v>
      </c>
      <c r="B226" s="6">
        <v>40553</v>
      </c>
      <c r="C226" s="5">
        <v>1</v>
      </c>
      <c r="D226" s="5">
        <v>0</v>
      </c>
      <c r="E226" s="5">
        <v>1</v>
      </c>
      <c r="F226" s="5">
        <v>15</v>
      </c>
      <c r="G226" s="7" t="b">
        <v>0</v>
      </c>
      <c r="H226" s="5">
        <v>1</v>
      </c>
      <c r="I226" s="5">
        <v>2</v>
      </c>
      <c r="J226" s="5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  <c r="Q226" t="s">
        <v>48</v>
      </c>
      <c r="R226" t="s">
        <v>26</v>
      </c>
      <c r="S226" s="8" t="str">
        <f t="shared" si="9"/>
        <v>Normal</v>
      </c>
      <c r="T226" s="8" t="str">
        <f t="shared" si="10"/>
        <v>Low</v>
      </c>
      <c r="U226" s="8" t="str">
        <f t="shared" si="11"/>
        <v>Afternoon</v>
      </c>
      <c r="V226" s="8"/>
      <c r="W226" s="8"/>
    </row>
    <row r="227" spans="1:23" ht="15.75" thickBot="1" x14ac:dyDescent="0.3">
      <c r="A227" s="5">
        <v>226</v>
      </c>
      <c r="B227" s="6">
        <v>40553</v>
      </c>
      <c r="C227" s="5">
        <v>1</v>
      </c>
      <c r="D227" s="5">
        <v>0</v>
      </c>
      <c r="E227" s="5">
        <v>1</v>
      </c>
      <c r="F227" s="5">
        <v>16</v>
      </c>
      <c r="G227" s="7" t="b">
        <v>0</v>
      </c>
      <c r="H227" s="5">
        <v>1</v>
      </c>
      <c r="I227" s="5">
        <v>1</v>
      </c>
      <c r="J227" s="5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  <c r="Q227" t="s">
        <v>48</v>
      </c>
      <c r="R227" t="s">
        <v>22</v>
      </c>
      <c r="S227" s="8" t="str">
        <f t="shared" si="9"/>
        <v>Normal</v>
      </c>
      <c r="T227" s="8" t="str">
        <f t="shared" si="10"/>
        <v>Medium</v>
      </c>
      <c r="U227" s="8" t="str">
        <f t="shared" si="11"/>
        <v>Afternoon</v>
      </c>
      <c r="V227" s="8"/>
      <c r="W227" s="8"/>
    </row>
    <row r="228" spans="1:23" ht="15.75" thickBot="1" x14ac:dyDescent="0.3">
      <c r="A228" s="5">
        <v>227</v>
      </c>
      <c r="B228" s="6">
        <v>40553</v>
      </c>
      <c r="C228" s="5">
        <v>1</v>
      </c>
      <c r="D228" s="5">
        <v>0</v>
      </c>
      <c r="E228" s="5">
        <v>1</v>
      </c>
      <c r="F228" s="5">
        <v>17</v>
      </c>
      <c r="G228" s="7" t="b">
        <v>0</v>
      </c>
      <c r="H228" s="5">
        <v>1</v>
      </c>
      <c r="I228" s="5">
        <v>1</v>
      </c>
      <c r="J228" s="5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  <c r="Q228" t="s">
        <v>48</v>
      </c>
      <c r="R228" t="s">
        <v>22</v>
      </c>
      <c r="S228" s="8" t="str">
        <f t="shared" si="9"/>
        <v>Rush Hour</v>
      </c>
      <c r="T228" s="8" t="str">
        <f t="shared" si="10"/>
        <v>High</v>
      </c>
      <c r="U228" s="8" t="str">
        <f t="shared" si="11"/>
        <v>Afternoon</v>
      </c>
      <c r="V228" s="8"/>
      <c r="W228" s="8"/>
    </row>
    <row r="229" spans="1:23" ht="15.75" thickBot="1" x14ac:dyDescent="0.3">
      <c r="A229" s="5">
        <v>228</v>
      </c>
      <c r="B229" s="6">
        <v>40553</v>
      </c>
      <c r="C229" s="5">
        <v>1</v>
      </c>
      <c r="D229" s="5">
        <v>0</v>
      </c>
      <c r="E229" s="5">
        <v>1</v>
      </c>
      <c r="F229" s="5">
        <v>18</v>
      </c>
      <c r="G229" s="7" t="b">
        <v>0</v>
      </c>
      <c r="H229" s="5">
        <v>1</v>
      </c>
      <c r="I229" s="5">
        <v>1</v>
      </c>
      <c r="J229" s="5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  <c r="Q229" t="s">
        <v>48</v>
      </c>
      <c r="R229" t="s">
        <v>22</v>
      </c>
      <c r="S229" s="8" t="str">
        <f t="shared" si="9"/>
        <v>Rush Hour</v>
      </c>
      <c r="T229" s="8" t="str">
        <f t="shared" si="10"/>
        <v>High</v>
      </c>
      <c r="U229" s="8" t="str">
        <f t="shared" si="11"/>
        <v>Evening</v>
      </c>
      <c r="V229" s="8"/>
      <c r="W229" s="8"/>
    </row>
    <row r="230" spans="1:23" ht="15.75" thickBot="1" x14ac:dyDescent="0.3">
      <c r="A230" s="5">
        <v>229</v>
      </c>
      <c r="B230" s="6">
        <v>40553</v>
      </c>
      <c r="C230" s="5">
        <v>1</v>
      </c>
      <c r="D230" s="5">
        <v>0</v>
      </c>
      <c r="E230" s="5">
        <v>1</v>
      </c>
      <c r="F230" s="5">
        <v>19</v>
      </c>
      <c r="G230" s="7" t="b">
        <v>0</v>
      </c>
      <c r="H230" s="5">
        <v>1</v>
      </c>
      <c r="I230" s="5">
        <v>1</v>
      </c>
      <c r="J230" s="5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  <c r="Q230" t="s">
        <v>48</v>
      </c>
      <c r="R230" t="s">
        <v>22</v>
      </c>
      <c r="S230" s="8" t="str">
        <f t="shared" si="9"/>
        <v>Rush Hour</v>
      </c>
      <c r="T230" s="8" t="str">
        <f t="shared" si="10"/>
        <v>Medium</v>
      </c>
      <c r="U230" s="8" t="str">
        <f t="shared" si="11"/>
        <v>Evening</v>
      </c>
      <c r="V230" s="8"/>
      <c r="W230" s="8"/>
    </row>
    <row r="231" spans="1:23" ht="15.75" thickBot="1" x14ac:dyDescent="0.3">
      <c r="A231" s="5">
        <v>230</v>
      </c>
      <c r="B231" s="6">
        <v>40553</v>
      </c>
      <c r="C231" s="5">
        <v>1</v>
      </c>
      <c r="D231" s="5">
        <v>0</v>
      </c>
      <c r="E231" s="5">
        <v>1</v>
      </c>
      <c r="F231" s="5">
        <v>20</v>
      </c>
      <c r="G231" s="7" t="b">
        <v>0</v>
      </c>
      <c r="H231" s="5">
        <v>1</v>
      </c>
      <c r="I231" s="5">
        <v>1</v>
      </c>
      <c r="J231" s="5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  <c r="Q231" t="s">
        <v>48</v>
      </c>
      <c r="R231" t="s">
        <v>22</v>
      </c>
      <c r="S231" s="8" t="str">
        <f t="shared" si="9"/>
        <v>Normal</v>
      </c>
      <c r="T231" s="8" t="str">
        <f t="shared" si="10"/>
        <v>Medium</v>
      </c>
      <c r="U231" s="8" t="str">
        <f t="shared" si="11"/>
        <v>Evening</v>
      </c>
      <c r="V231" s="8"/>
      <c r="W231" s="8"/>
    </row>
    <row r="232" spans="1:23" ht="15.75" thickBot="1" x14ac:dyDescent="0.3">
      <c r="A232" s="5">
        <v>231</v>
      </c>
      <c r="B232" s="6">
        <v>40553</v>
      </c>
      <c r="C232" s="5">
        <v>1</v>
      </c>
      <c r="D232" s="5">
        <v>0</v>
      </c>
      <c r="E232" s="5">
        <v>1</v>
      </c>
      <c r="F232" s="5">
        <v>21</v>
      </c>
      <c r="G232" s="7" t="b">
        <v>0</v>
      </c>
      <c r="H232" s="5">
        <v>1</v>
      </c>
      <c r="I232" s="5">
        <v>1</v>
      </c>
      <c r="J232" s="5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  <c r="Q232" t="s">
        <v>48</v>
      </c>
      <c r="R232" t="s">
        <v>22</v>
      </c>
      <c r="S232" s="8" t="str">
        <f t="shared" si="9"/>
        <v>Normal</v>
      </c>
      <c r="T232" s="8" t="str">
        <f t="shared" si="10"/>
        <v>Low</v>
      </c>
      <c r="U232" s="8" t="str">
        <f t="shared" si="11"/>
        <v>Evening</v>
      </c>
      <c r="V232" s="8"/>
      <c r="W232" s="8"/>
    </row>
    <row r="233" spans="1:23" ht="15.75" thickBot="1" x14ac:dyDescent="0.3">
      <c r="A233" s="5">
        <v>232</v>
      </c>
      <c r="B233" s="6">
        <v>40553</v>
      </c>
      <c r="C233" s="5">
        <v>1</v>
      </c>
      <c r="D233" s="5">
        <v>0</v>
      </c>
      <c r="E233" s="5">
        <v>1</v>
      </c>
      <c r="F233" s="5">
        <v>22</v>
      </c>
      <c r="G233" s="7" t="b">
        <v>0</v>
      </c>
      <c r="H233" s="5">
        <v>1</v>
      </c>
      <c r="I233" s="5">
        <v>1</v>
      </c>
      <c r="J233" s="5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  <c r="Q233" t="s">
        <v>48</v>
      </c>
      <c r="R233" t="s">
        <v>22</v>
      </c>
      <c r="S233" s="8" t="str">
        <f t="shared" si="9"/>
        <v>Normal</v>
      </c>
      <c r="T233" s="8" t="str">
        <f t="shared" si="10"/>
        <v>Low</v>
      </c>
      <c r="U233" s="8" t="str">
        <f t="shared" si="11"/>
        <v>Evening</v>
      </c>
      <c r="V233" s="8"/>
      <c r="W233" s="8"/>
    </row>
    <row r="234" spans="1:23" ht="15.75" thickBot="1" x14ac:dyDescent="0.3">
      <c r="A234" s="5">
        <v>233</v>
      </c>
      <c r="B234" s="6">
        <v>40553</v>
      </c>
      <c r="C234" s="5">
        <v>1</v>
      </c>
      <c r="D234" s="5">
        <v>0</v>
      </c>
      <c r="E234" s="5">
        <v>1</v>
      </c>
      <c r="F234" s="5">
        <v>23</v>
      </c>
      <c r="G234" s="7" t="b">
        <v>0</v>
      </c>
      <c r="H234" s="5">
        <v>1</v>
      </c>
      <c r="I234" s="5">
        <v>1</v>
      </c>
      <c r="J234" s="5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  <c r="Q234" t="s">
        <v>48</v>
      </c>
      <c r="R234" t="s">
        <v>22</v>
      </c>
      <c r="S234" s="8" t="str">
        <f t="shared" si="9"/>
        <v>Normal</v>
      </c>
      <c r="T234" s="8" t="str">
        <f t="shared" si="10"/>
        <v>Low</v>
      </c>
      <c r="U234" s="8" t="str">
        <f t="shared" si="11"/>
        <v>Evening</v>
      </c>
      <c r="V234" s="8"/>
      <c r="W234" s="8"/>
    </row>
    <row r="235" spans="1:23" ht="15.75" thickBot="1" x14ac:dyDescent="0.3">
      <c r="A235" s="5">
        <v>234</v>
      </c>
      <c r="B235" s="6">
        <v>40554</v>
      </c>
      <c r="C235" s="5">
        <v>1</v>
      </c>
      <c r="D235" s="5">
        <v>0</v>
      </c>
      <c r="E235" s="5">
        <v>1</v>
      </c>
      <c r="F235" s="5">
        <v>0</v>
      </c>
      <c r="G235" s="7" t="b">
        <v>0</v>
      </c>
      <c r="H235" s="5">
        <v>2</v>
      </c>
      <c r="I235" s="5">
        <v>1</v>
      </c>
      <c r="J235" s="5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  <c r="Q235" t="s">
        <v>49</v>
      </c>
      <c r="R235" t="s">
        <v>22</v>
      </c>
      <c r="S235" s="8" t="str">
        <f t="shared" si="9"/>
        <v>Normal</v>
      </c>
      <c r="T235" s="8" t="str">
        <f t="shared" si="10"/>
        <v>Low</v>
      </c>
      <c r="U235" s="8" t="str">
        <f t="shared" si="11"/>
        <v>Night</v>
      </c>
      <c r="V235" s="8"/>
      <c r="W235" s="8"/>
    </row>
    <row r="236" spans="1:23" ht="15.75" thickBot="1" x14ac:dyDescent="0.3">
      <c r="A236" s="5">
        <v>235</v>
      </c>
      <c r="B236" s="6">
        <v>40554</v>
      </c>
      <c r="C236" s="5">
        <v>1</v>
      </c>
      <c r="D236" s="5">
        <v>0</v>
      </c>
      <c r="E236" s="5">
        <v>1</v>
      </c>
      <c r="F236" s="5">
        <v>1</v>
      </c>
      <c r="G236" s="7" t="b">
        <v>0</v>
      </c>
      <c r="H236" s="5">
        <v>2</v>
      </c>
      <c r="I236" s="5">
        <v>1</v>
      </c>
      <c r="J236" s="5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  <c r="Q236" t="s">
        <v>49</v>
      </c>
      <c r="R236" t="s">
        <v>22</v>
      </c>
      <c r="S236" s="8" t="str">
        <f t="shared" si="9"/>
        <v>Normal</v>
      </c>
      <c r="T236" s="8" t="str">
        <f t="shared" si="10"/>
        <v>Low</v>
      </c>
      <c r="U236" s="8" t="str">
        <f t="shared" si="11"/>
        <v>Night</v>
      </c>
      <c r="V236" s="8"/>
      <c r="W236" s="8"/>
    </row>
    <row r="237" spans="1:23" ht="15.75" thickBot="1" x14ac:dyDescent="0.3">
      <c r="A237" s="5">
        <v>236</v>
      </c>
      <c r="B237" s="6">
        <v>40554</v>
      </c>
      <c r="C237" s="5">
        <v>1</v>
      </c>
      <c r="D237" s="5">
        <v>0</v>
      </c>
      <c r="E237" s="5">
        <v>1</v>
      </c>
      <c r="F237" s="5">
        <v>2</v>
      </c>
      <c r="G237" s="7" t="b">
        <v>0</v>
      </c>
      <c r="H237" s="5">
        <v>2</v>
      </c>
      <c r="I237" s="5">
        <v>2</v>
      </c>
      <c r="J237" s="5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  <c r="Q237" t="s">
        <v>49</v>
      </c>
      <c r="R237" t="s">
        <v>26</v>
      </c>
      <c r="S237" s="8" t="str">
        <f t="shared" si="9"/>
        <v>Normal</v>
      </c>
      <c r="T237" s="8" t="str">
        <f t="shared" si="10"/>
        <v>Low</v>
      </c>
      <c r="U237" s="8" t="str">
        <f t="shared" si="11"/>
        <v>Night</v>
      </c>
      <c r="V237" s="8"/>
      <c r="W237" s="8"/>
    </row>
    <row r="238" spans="1:23" ht="15.75" thickBot="1" x14ac:dyDescent="0.3">
      <c r="A238" s="5">
        <v>237</v>
      </c>
      <c r="B238" s="6">
        <v>40554</v>
      </c>
      <c r="C238" s="5">
        <v>1</v>
      </c>
      <c r="D238" s="5">
        <v>0</v>
      </c>
      <c r="E238" s="5">
        <v>1</v>
      </c>
      <c r="F238" s="5">
        <v>5</v>
      </c>
      <c r="G238" s="7" t="b">
        <v>0</v>
      </c>
      <c r="H238" s="5">
        <v>2</v>
      </c>
      <c r="I238" s="5">
        <v>2</v>
      </c>
      <c r="J238" s="5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  <c r="Q238" t="s">
        <v>49</v>
      </c>
      <c r="R238" t="s">
        <v>26</v>
      </c>
      <c r="S238" s="8" t="str">
        <f t="shared" si="9"/>
        <v>Normal</v>
      </c>
      <c r="T238" s="8" t="str">
        <f t="shared" si="10"/>
        <v>Low</v>
      </c>
      <c r="U238" s="8" t="str">
        <f t="shared" si="11"/>
        <v>Night</v>
      </c>
      <c r="V238" s="8"/>
      <c r="W238" s="8"/>
    </row>
    <row r="239" spans="1:23" ht="15.75" thickBot="1" x14ac:dyDescent="0.3">
      <c r="A239" s="5">
        <v>238</v>
      </c>
      <c r="B239" s="6">
        <v>40554</v>
      </c>
      <c r="C239" s="5">
        <v>1</v>
      </c>
      <c r="D239" s="5">
        <v>0</v>
      </c>
      <c r="E239" s="5">
        <v>1</v>
      </c>
      <c r="F239" s="5">
        <v>6</v>
      </c>
      <c r="G239" s="7" t="b">
        <v>0</v>
      </c>
      <c r="H239" s="5">
        <v>2</v>
      </c>
      <c r="I239" s="5">
        <v>2</v>
      </c>
      <c r="J239" s="5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  <c r="Q239" t="s">
        <v>49</v>
      </c>
      <c r="R239" t="s">
        <v>26</v>
      </c>
      <c r="S239" s="8" t="str">
        <f t="shared" si="9"/>
        <v>Normal</v>
      </c>
      <c r="T239" s="8" t="str">
        <f t="shared" si="10"/>
        <v>Low</v>
      </c>
      <c r="U239" s="8" t="str">
        <f t="shared" si="11"/>
        <v>Morning</v>
      </c>
      <c r="V239" s="8"/>
      <c r="W239" s="8"/>
    </row>
    <row r="240" spans="1:23" ht="15.75" thickBot="1" x14ac:dyDescent="0.3">
      <c r="A240" s="5">
        <v>239</v>
      </c>
      <c r="B240" s="6">
        <v>40554</v>
      </c>
      <c r="C240" s="5">
        <v>1</v>
      </c>
      <c r="D240" s="5">
        <v>0</v>
      </c>
      <c r="E240" s="5">
        <v>1</v>
      </c>
      <c r="F240" s="5">
        <v>7</v>
      </c>
      <c r="G240" s="7" t="b">
        <v>0</v>
      </c>
      <c r="H240" s="5">
        <v>2</v>
      </c>
      <c r="I240" s="5">
        <v>2</v>
      </c>
      <c r="J240" s="5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  <c r="Q240" t="s">
        <v>49</v>
      </c>
      <c r="R240" t="s">
        <v>26</v>
      </c>
      <c r="S240" s="8" t="str">
        <f t="shared" si="9"/>
        <v>Rush Hour</v>
      </c>
      <c r="T240" s="8" t="str">
        <f t="shared" si="10"/>
        <v>Medium</v>
      </c>
      <c r="U240" s="8" t="str">
        <f t="shared" si="11"/>
        <v>Morning</v>
      </c>
      <c r="V240" s="8"/>
      <c r="W240" s="8"/>
    </row>
    <row r="241" spans="1:23" ht="15.75" thickBot="1" x14ac:dyDescent="0.3">
      <c r="A241" s="5">
        <v>240</v>
      </c>
      <c r="B241" s="6">
        <v>40554</v>
      </c>
      <c r="C241" s="5">
        <v>1</v>
      </c>
      <c r="D241" s="5">
        <v>0</v>
      </c>
      <c r="E241" s="5">
        <v>1</v>
      </c>
      <c r="F241" s="5">
        <v>8</v>
      </c>
      <c r="G241" s="7" t="b">
        <v>0</v>
      </c>
      <c r="H241" s="5">
        <v>2</v>
      </c>
      <c r="I241" s="5">
        <v>2</v>
      </c>
      <c r="J241" s="5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  <c r="Q241" t="s">
        <v>49</v>
      </c>
      <c r="R241" t="s">
        <v>26</v>
      </c>
      <c r="S241" s="8" t="str">
        <f t="shared" si="9"/>
        <v>Rush Hour</v>
      </c>
      <c r="T241" s="8" t="str">
        <f t="shared" si="10"/>
        <v>High</v>
      </c>
      <c r="U241" s="8" t="str">
        <f t="shared" si="11"/>
        <v>Morning</v>
      </c>
      <c r="V241" s="8"/>
      <c r="W241" s="8"/>
    </row>
    <row r="242" spans="1:23" ht="15.75" thickBot="1" x14ac:dyDescent="0.3">
      <c r="A242" s="5">
        <v>241</v>
      </c>
      <c r="B242" s="6">
        <v>40554</v>
      </c>
      <c r="C242" s="5">
        <v>1</v>
      </c>
      <c r="D242" s="5">
        <v>0</v>
      </c>
      <c r="E242" s="5">
        <v>1</v>
      </c>
      <c r="F242" s="5">
        <v>9</v>
      </c>
      <c r="G242" s="7" t="b">
        <v>0</v>
      </c>
      <c r="H242" s="5">
        <v>2</v>
      </c>
      <c r="I242" s="5">
        <v>2</v>
      </c>
      <c r="J242" s="5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  <c r="Q242" t="s">
        <v>49</v>
      </c>
      <c r="R242" t="s">
        <v>26</v>
      </c>
      <c r="S242" s="8" t="str">
        <f t="shared" si="9"/>
        <v>Rush Hour</v>
      </c>
      <c r="T242" s="8" t="str">
        <f t="shared" si="10"/>
        <v>Medium</v>
      </c>
      <c r="U242" s="8" t="str">
        <f t="shared" si="11"/>
        <v>Morning</v>
      </c>
      <c r="V242" s="8"/>
      <c r="W242" s="8"/>
    </row>
    <row r="243" spans="1:23" ht="15.75" thickBot="1" x14ac:dyDescent="0.3">
      <c r="A243" s="5">
        <v>242</v>
      </c>
      <c r="B243" s="6">
        <v>40554</v>
      </c>
      <c r="C243" s="5">
        <v>1</v>
      </c>
      <c r="D243" s="5">
        <v>0</v>
      </c>
      <c r="E243" s="5">
        <v>1</v>
      </c>
      <c r="F243" s="5">
        <v>10</v>
      </c>
      <c r="G243" s="7" t="b">
        <v>0</v>
      </c>
      <c r="H243" s="5">
        <v>2</v>
      </c>
      <c r="I243" s="5">
        <v>2</v>
      </c>
      <c r="J243" s="5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  <c r="Q243" t="s">
        <v>49</v>
      </c>
      <c r="R243" t="s">
        <v>26</v>
      </c>
      <c r="S243" s="8" t="str">
        <f t="shared" si="9"/>
        <v>Normal</v>
      </c>
      <c r="T243" s="8" t="str">
        <f t="shared" si="10"/>
        <v>Medium</v>
      </c>
      <c r="U243" s="8" t="str">
        <f t="shared" si="11"/>
        <v>Morning</v>
      </c>
      <c r="V243" s="8"/>
      <c r="W243" s="8"/>
    </row>
    <row r="244" spans="1:23" ht="15.75" thickBot="1" x14ac:dyDescent="0.3">
      <c r="A244" s="5">
        <v>243</v>
      </c>
      <c r="B244" s="6">
        <v>40554</v>
      </c>
      <c r="C244" s="5">
        <v>1</v>
      </c>
      <c r="D244" s="5">
        <v>0</v>
      </c>
      <c r="E244" s="5">
        <v>1</v>
      </c>
      <c r="F244" s="5">
        <v>11</v>
      </c>
      <c r="G244" s="7" t="b">
        <v>0</v>
      </c>
      <c r="H244" s="5">
        <v>2</v>
      </c>
      <c r="I244" s="5">
        <v>2</v>
      </c>
      <c r="J244" s="5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  <c r="Q244" t="s">
        <v>49</v>
      </c>
      <c r="R244" t="s">
        <v>26</v>
      </c>
      <c r="S244" s="8" t="str">
        <f t="shared" si="9"/>
        <v>Normal</v>
      </c>
      <c r="T244" s="8" t="str">
        <f t="shared" si="10"/>
        <v>Low</v>
      </c>
      <c r="U244" s="8" t="str">
        <f t="shared" si="11"/>
        <v>Morning</v>
      </c>
      <c r="V244" s="8"/>
      <c r="W244" s="8"/>
    </row>
    <row r="245" spans="1:23" ht="15.75" thickBot="1" x14ac:dyDescent="0.3">
      <c r="A245" s="5">
        <v>244</v>
      </c>
      <c r="B245" s="6">
        <v>40554</v>
      </c>
      <c r="C245" s="5">
        <v>1</v>
      </c>
      <c r="D245" s="5">
        <v>0</v>
      </c>
      <c r="E245" s="5">
        <v>1</v>
      </c>
      <c r="F245" s="5">
        <v>12</v>
      </c>
      <c r="G245" s="7" t="b">
        <v>0</v>
      </c>
      <c r="H245" s="5">
        <v>2</v>
      </c>
      <c r="I245" s="5">
        <v>2</v>
      </c>
      <c r="J245" s="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  <c r="Q245" t="s">
        <v>49</v>
      </c>
      <c r="R245" t="s">
        <v>26</v>
      </c>
      <c r="S245" s="8" t="str">
        <f t="shared" si="9"/>
        <v>Normal</v>
      </c>
      <c r="T245" s="8" t="str">
        <f t="shared" si="10"/>
        <v>Medium</v>
      </c>
      <c r="U245" s="8" t="str">
        <f t="shared" si="11"/>
        <v>Afternoon</v>
      </c>
      <c r="V245" s="8"/>
      <c r="W245" s="8"/>
    </row>
    <row r="246" spans="1:23" ht="15.75" thickBot="1" x14ac:dyDescent="0.3">
      <c r="A246" s="5">
        <v>245</v>
      </c>
      <c r="B246" s="6">
        <v>40554</v>
      </c>
      <c r="C246" s="5">
        <v>1</v>
      </c>
      <c r="D246" s="5">
        <v>0</v>
      </c>
      <c r="E246" s="5">
        <v>1</v>
      </c>
      <c r="F246" s="5">
        <v>13</v>
      </c>
      <c r="G246" s="7" t="b">
        <v>0</v>
      </c>
      <c r="H246" s="5">
        <v>2</v>
      </c>
      <c r="I246" s="5">
        <v>2</v>
      </c>
      <c r="J246" s="5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  <c r="Q246" t="s">
        <v>49</v>
      </c>
      <c r="R246" t="s">
        <v>26</v>
      </c>
      <c r="S246" s="8" t="str">
        <f t="shared" si="9"/>
        <v>Normal</v>
      </c>
      <c r="T246" s="8" t="str">
        <f t="shared" si="10"/>
        <v>Medium</v>
      </c>
      <c r="U246" s="8" t="str">
        <f t="shared" si="11"/>
        <v>Afternoon</v>
      </c>
      <c r="V246" s="8"/>
      <c r="W246" s="8"/>
    </row>
    <row r="247" spans="1:23" ht="15.75" thickBot="1" x14ac:dyDescent="0.3">
      <c r="A247" s="5">
        <v>246</v>
      </c>
      <c r="B247" s="6">
        <v>40554</v>
      </c>
      <c r="C247" s="5">
        <v>1</v>
      </c>
      <c r="D247" s="5">
        <v>0</v>
      </c>
      <c r="E247" s="5">
        <v>1</v>
      </c>
      <c r="F247" s="5">
        <v>14</v>
      </c>
      <c r="G247" s="7" t="b">
        <v>0</v>
      </c>
      <c r="H247" s="5">
        <v>2</v>
      </c>
      <c r="I247" s="5">
        <v>2</v>
      </c>
      <c r="J247" s="5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  <c r="Q247" t="s">
        <v>49</v>
      </c>
      <c r="R247" t="s">
        <v>26</v>
      </c>
      <c r="S247" s="8" t="str">
        <f t="shared" si="9"/>
        <v>Normal</v>
      </c>
      <c r="T247" s="8" t="str">
        <f t="shared" si="10"/>
        <v>Medium</v>
      </c>
      <c r="U247" s="8" t="str">
        <f t="shared" si="11"/>
        <v>Afternoon</v>
      </c>
      <c r="V247" s="8"/>
      <c r="W247" s="8"/>
    </row>
    <row r="248" spans="1:23" ht="15.75" thickBot="1" x14ac:dyDescent="0.3">
      <c r="A248" s="5">
        <v>247</v>
      </c>
      <c r="B248" s="6">
        <v>40554</v>
      </c>
      <c r="C248" s="5">
        <v>1</v>
      </c>
      <c r="D248" s="5">
        <v>0</v>
      </c>
      <c r="E248" s="5">
        <v>1</v>
      </c>
      <c r="F248" s="5">
        <v>15</v>
      </c>
      <c r="G248" s="7" t="b">
        <v>0</v>
      </c>
      <c r="H248" s="5">
        <v>2</v>
      </c>
      <c r="I248" s="5">
        <v>2</v>
      </c>
      <c r="J248" s="5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  <c r="Q248" t="s">
        <v>49</v>
      </c>
      <c r="R248" t="s">
        <v>26</v>
      </c>
      <c r="S248" s="8" t="str">
        <f t="shared" si="9"/>
        <v>Normal</v>
      </c>
      <c r="T248" s="8" t="str">
        <f t="shared" si="10"/>
        <v>Low</v>
      </c>
      <c r="U248" s="8" t="str">
        <f t="shared" si="11"/>
        <v>Afternoon</v>
      </c>
      <c r="V248" s="8"/>
      <c r="W248" s="8"/>
    </row>
    <row r="249" spans="1:23" ht="15.75" thickBot="1" x14ac:dyDescent="0.3">
      <c r="A249" s="5">
        <v>248</v>
      </c>
      <c r="B249" s="6">
        <v>40554</v>
      </c>
      <c r="C249" s="5">
        <v>1</v>
      </c>
      <c r="D249" s="5">
        <v>0</v>
      </c>
      <c r="E249" s="5">
        <v>1</v>
      </c>
      <c r="F249" s="5">
        <v>16</v>
      </c>
      <c r="G249" s="7" t="b">
        <v>0</v>
      </c>
      <c r="H249" s="5">
        <v>2</v>
      </c>
      <c r="I249" s="5">
        <v>2</v>
      </c>
      <c r="J249" s="5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  <c r="Q249" t="s">
        <v>49</v>
      </c>
      <c r="R249" t="s">
        <v>26</v>
      </c>
      <c r="S249" s="8" t="str">
        <f t="shared" si="9"/>
        <v>Normal</v>
      </c>
      <c r="T249" s="8" t="str">
        <f t="shared" si="10"/>
        <v>Medium</v>
      </c>
      <c r="U249" s="8" t="str">
        <f t="shared" si="11"/>
        <v>Afternoon</v>
      </c>
      <c r="V249" s="8"/>
      <c r="W249" s="8"/>
    </row>
    <row r="250" spans="1:23" ht="15.75" thickBot="1" x14ac:dyDescent="0.3">
      <c r="A250" s="5">
        <v>249</v>
      </c>
      <c r="B250" s="6">
        <v>40554</v>
      </c>
      <c r="C250" s="5">
        <v>1</v>
      </c>
      <c r="D250" s="5">
        <v>0</v>
      </c>
      <c r="E250" s="5">
        <v>1</v>
      </c>
      <c r="F250" s="5">
        <v>17</v>
      </c>
      <c r="G250" s="7" t="b">
        <v>0</v>
      </c>
      <c r="H250" s="5">
        <v>2</v>
      </c>
      <c r="I250" s="5">
        <v>2</v>
      </c>
      <c r="J250" s="5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  <c r="Q250" t="s">
        <v>49</v>
      </c>
      <c r="R250" t="s">
        <v>26</v>
      </c>
      <c r="S250" s="8" t="str">
        <f t="shared" si="9"/>
        <v>Rush Hour</v>
      </c>
      <c r="T250" s="8" t="str">
        <f t="shared" si="10"/>
        <v>Medium</v>
      </c>
      <c r="U250" s="8" t="str">
        <f t="shared" si="11"/>
        <v>Afternoon</v>
      </c>
      <c r="V250" s="8"/>
      <c r="W250" s="8"/>
    </row>
    <row r="251" spans="1:23" ht="15.75" thickBot="1" x14ac:dyDescent="0.3">
      <c r="A251" s="5">
        <v>250</v>
      </c>
      <c r="B251" s="6">
        <v>40554</v>
      </c>
      <c r="C251" s="5">
        <v>1</v>
      </c>
      <c r="D251" s="5">
        <v>0</v>
      </c>
      <c r="E251" s="5">
        <v>1</v>
      </c>
      <c r="F251" s="5">
        <v>18</v>
      </c>
      <c r="G251" s="7" t="b">
        <v>0</v>
      </c>
      <c r="H251" s="5">
        <v>2</v>
      </c>
      <c r="I251" s="5">
        <v>3</v>
      </c>
      <c r="J251" s="5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  <c r="Q251" t="s">
        <v>49</v>
      </c>
      <c r="R251" t="s">
        <v>40</v>
      </c>
      <c r="S251" s="8" t="str">
        <f t="shared" si="9"/>
        <v>Rush Hour</v>
      </c>
      <c r="T251" s="8" t="str">
        <f t="shared" si="10"/>
        <v>Medium</v>
      </c>
      <c r="U251" s="8" t="str">
        <f t="shared" si="11"/>
        <v>Evening</v>
      </c>
      <c r="V251" s="8"/>
      <c r="W251" s="8"/>
    </row>
    <row r="252" spans="1:23" ht="15.75" thickBot="1" x14ac:dyDescent="0.3">
      <c r="A252" s="5">
        <v>251</v>
      </c>
      <c r="B252" s="6">
        <v>40554</v>
      </c>
      <c r="C252" s="5">
        <v>1</v>
      </c>
      <c r="D252" s="5">
        <v>0</v>
      </c>
      <c r="E252" s="5">
        <v>1</v>
      </c>
      <c r="F252" s="5">
        <v>19</v>
      </c>
      <c r="G252" s="7" t="b">
        <v>0</v>
      </c>
      <c r="H252" s="5">
        <v>2</v>
      </c>
      <c r="I252" s="5">
        <v>3</v>
      </c>
      <c r="J252" s="5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  <c r="Q252" t="s">
        <v>49</v>
      </c>
      <c r="R252" t="s">
        <v>40</v>
      </c>
      <c r="S252" s="8" t="str">
        <f t="shared" si="9"/>
        <v>Rush Hour</v>
      </c>
      <c r="T252" s="8" t="str">
        <f t="shared" si="10"/>
        <v>Medium</v>
      </c>
      <c r="U252" s="8" t="str">
        <f t="shared" si="11"/>
        <v>Evening</v>
      </c>
      <c r="V252" s="8"/>
      <c r="W252" s="8"/>
    </row>
    <row r="253" spans="1:23" ht="15.75" thickBot="1" x14ac:dyDescent="0.3">
      <c r="A253" s="5">
        <v>252</v>
      </c>
      <c r="B253" s="6">
        <v>40554</v>
      </c>
      <c r="C253" s="5">
        <v>1</v>
      </c>
      <c r="D253" s="5">
        <v>0</v>
      </c>
      <c r="E253" s="5">
        <v>1</v>
      </c>
      <c r="F253" s="5">
        <v>20</v>
      </c>
      <c r="G253" s="7" t="b">
        <v>0</v>
      </c>
      <c r="H253" s="5">
        <v>2</v>
      </c>
      <c r="I253" s="5">
        <v>3</v>
      </c>
      <c r="J253" s="5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  <c r="Q253" t="s">
        <v>49</v>
      </c>
      <c r="R253" t="s">
        <v>40</v>
      </c>
      <c r="S253" s="8" t="str">
        <f t="shared" si="9"/>
        <v>Normal</v>
      </c>
      <c r="T253" s="8" t="str">
        <f t="shared" si="10"/>
        <v>Low</v>
      </c>
      <c r="U253" s="8" t="str">
        <f t="shared" si="11"/>
        <v>Evening</v>
      </c>
      <c r="V253" s="8"/>
      <c r="W253" s="8"/>
    </row>
    <row r="254" spans="1:23" ht="15.75" thickBot="1" x14ac:dyDescent="0.3">
      <c r="A254" s="5">
        <v>253</v>
      </c>
      <c r="B254" s="6">
        <v>40554</v>
      </c>
      <c r="C254" s="5">
        <v>1</v>
      </c>
      <c r="D254" s="5">
        <v>0</v>
      </c>
      <c r="E254" s="5">
        <v>1</v>
      </c>
      <c r="F254" s="5">
        <v>21</v>
      </c>
      <c r="G254" s="7" t="b">
        <v>0</v>
      </c>
      <c r="H254" s="5">
        <v>2</v>
      </c>
      <c r="I254" s="5">
        <v>3</v>
      </c>
      <c r="J254" s="5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  <c r="Q254" t="s">
        <v>49</v>
      </c>
      <c r="R254" t="s">
        <v>40</v>
      </c>
      <c r="S254" s="8" t="str">
        <f t="shared" si="9"/>
        <v>Normal</v>
      </c>
      <c r="T254" s="8" t="str">
        <f t="shared" si="10"/>
        <v>Low</v>
      </c>
      <c r="U254" s="8" t="str">
        <f t="shared" si="11"/>
        <v>Evening</v>
      </c>
      <c r="V254" s="8"/>
      <c r="W254" s="8"/>
    </row>
    <row r="255" spans="1:23" ht="15.75" thickBot="1" x14ac:dyDescent="0.3">
      <c r="A255" s="5">
        <v>254</v>
      </c>
      <c r="B255" s="6">
        <v>40554</v>
      </c>
      <c r="C255" s="5">
        <v>1</v>
      </c>
      <c r="D255" s="5">
        <v>0</v>
      </c>
      <c r="E255" s="5">
        <v>1</v>
      </c>
      <c r="F255" s="5">
        <v>22</v>
      </c>
      <c r="G255" s="7" t="b">
        <v>0</v>
      </c>
      <c r="H255" s="5">
        <v>2</v>
      </c>
      <c r="I255" s="5">
        <v>3</v>
      </c>
      <c r="J255" s="5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  <c r="Q255" t="s">
        <v>49</v>
      </c>
      <c r="R255" t="s">
        <v>40</v>
      </c>
      <c r="S255" s="8" t="str">
        <f t="shared" si="9"/>
        <v>Normal</v>
      </c>
      <c r="T255" s="8" t="str">
        <f t="shared" si="10"/>
        <v>Low</v>
      </c>
      <c r="U255" s="8" t="str">
        <f t="shared" si="11"/>
        <v>Evening</v>
      </c>
      <c r="V255" s="8"/>
      <c r="W255" s="8"/>
    </row>
    <row r="256" spans="1:23" ht="15.75" thickBot="1" x14ac:dyDescent="0.3">
      <c r="A256" s="5">
        <v>255</v>
      </c>
      <c r="B256" s="6">
        <v>40554</v>
      </c>
      <c r="C256" s="5">
        <v>1</v>
      </c>
      <c r="D256" s="5">
        <v>0</v>
      </c>
      <c r="E256" s="5">
        <v>1</v>
      </c>
      <c r="F256" s="5">
        <v>23</v>
      </c>
      <c r="G256" s="7" t="b">
        <v>0</v>
      </c>
      <c r="H256" s="5">
        <v>2</v>
      </c>
      <c r="I256" s="5">
        <v>3</v>
      </c>
      <c r="J256" s="5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  <c r="Q256" t="s">
        <v>49</v>
      </c>
      <c r="R256" t="s">
        <v>40</v>
      </c>
      <c r="S256" s="8" t="str">
        <f t="shared" si="9"/>
        <v>Normal</v>
      </c>
      <c r="T256" s="8" t="str">
        <f t="shared" si="10"/>
        <v>Low</v>
      </c>
      <c r="U256" s="8" t="str">
        <f t="shared" si="11"/>
        <v>Evening</v>
      </c>
      <c r="V256" s="8"/>
      <c r="W256" s="8"/>
    </row>
    <row r="257" spans="1:23" ht="15.75" thickBot="1" x14ac:dyDescent="0.3">
      <c r="A257" s="5">
        <v>256</v>
      </c>
      <c r="B257" s="6">
        <v>40555</v>
      </c>
      <c r="C257" s="5">
        <v>1</v>
      </c>
      <c r="D257" s="5">
        <v>0</v>
      </c>
      <c r="E257" s="5">
        <v>1</v>
      </c>
      <c r="F257" s="5">
        <v>0</v>
      </c>
      <c r="G257" s="7" t="b">
        <v>0</v>
      </c>
      <c r="H257" s="5">
        <v>3</v>
      </c>
      <c r="I257" s="5">
        <v>2</v>
      </c>
      <c r="J257" s="5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  <c r="Q257" t="s">
        <v>50</v>
      </c>
      <c r="R257" t="s">
        <v>26</v>
      </c>
      <c r="S257" s="8" t="str">
        <f t="shared" si="9"/>
        <v>Normal</v>
      </c>
      <c r="T257" s="8" t="str">
        <f t="shared" si="10"/>
        <v>Low</v>
      </c>
      <c r="U257" s="8" t="str">
        <f t="shared" si="11"/>
        <v>Night</v>
      </c>
      <c r="V257" s="8"/>
      <c r="W257" s="8"/>
    </row>
    <row r="258" spans="1:23" ht="15.75" thickBot="1" x14ac:dyDescent="0.3">
      <c r="A258" s="5">
        <v>257</v>
      </c>
      <c r="B258" s="6">
        <v>40555</v>
      </c>
      <c r="C258" s="5">
        <v>1</v>
      </c>
      <c r="D258" s="5">
        <v>0</v>
      </c>
      <c r="E258" s="5">
        <v>1</v>
      </c>
      <c r="F258" s="5">
        <v>1</v>
      </c>
      <c r="G258" s="7" t="b">
        <v>0</v>
      </c>
      <c r="H258" s="5">
        <v>3</v>
      </c>
      <c r="I258" s="5">
        <v>2</v>
      </c>
      <c r="J258" s="5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  <c r="Q258" t="s">
        <v>50</v>
      </c>
      <c r="R258" t="s">
        <v>26</v>
      </c>
      <c r="S258" s="8" t="str">
        <f t="shared" si="9"/>
        <v>Normal</v>
      </c>
      <c r="T258" s="8" t="str">
        <f t="shared" si="10"/>
        <v>Low</v>
      </c>
      <c r="U258" s="8" t="str">
        <f t="shared" si="11"/>
        <v>Night</v>
      </c>
      <c r="V258" s="8"/>
      <c r="W258" s="8"/>
    </row>
    <row r="259" spans="1:23" ht="15.75" thickBot="1" x14ac:dyDescent="0.3">
      <c r="A259" s="5">
        <v>258</v>
      </c>
      <c r="B259" s="6">
        <v>40555</v>
      </c>
      <c r="C259" s="5">
        <v>1</v>
      </c>
      <c r="D259" s="5">
        <v>0</v>
      </c>
      <c r="E259" s="5">
        <v>1</v>
      </c>
      <c r="F259" s="5">
        <v>2</v>
      </c>
      <c r="G259" s="7" t="b">
        <v>0</v>
      </c>
      <c r="H259" s="5">
        <v>3</v>
      </c>
      <c r="I259" s="5">
        <v>1</v>
      </c>
      <c r="J259" s="5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  <c r="Q259" t="s">
        <v>50</v>
      </c>
      <c r="R259" t="s">
        <v>22</v>
      </c>
      <c r="S259" s="8" t="str">
        <f t="shared" ref="S259:S322" si="12">IF(OR(AND(F259&gt;=7,F259&lt;=9),AND(F259&gt;=17,F259&lt;=19)),"Rush Hour","Normal")</f>
        <v>Normal</v>
      </c>
      <c r="T259" s="8" t="str">
        <f t="shared" ref="T259:T322" si="13">IF(P259&gt;150,"High",IF(P259&gt;50,"Medium","Low"))</f>
        <v>Low</v>
      </c>
      <c r="U259" s="8" t="str">
        <f t="shared" ref="U259:U322" si="14">IF(F259&lt;6,"Night", IF(F259&lt;12,"Morning", IF(F259&lt;18,"Afternoon","Evening")))</f>
        <v>Night</v>
      </c>
      <c r="V259" s="8"/>
      <c r="W259" s="8"/>
    </row>
    <row r="260" spans="1:23" ht="15.75" thickBot="1" x14ac:dyDescent="0.3">
      <c r="A260" s="5">
        <v>259</v>
      </c>
      <c r="B260" s="6">
        <v>40555</v>
      </c>
      <c r="C260" s="5">
        <v>1</v>
      </c>
      <c r="D260" s="5">
        <v>0</v>
      </c>
      <c r="E260" s="5">
        <v>1</v>
      </c>
      <c r="F260" s="5">
        <v>5</v>
      </c>
      <c r="G260" s="7" t="b">
        <v>0</v>
      </c>
      <c r="H260" s="5">
        <v>3</v>
      </c>
      <c r="I260" s="5">
        <v>1</v>
      </c>
      <c r="J260" s="5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  <c r="Q260" t="s">
        <v>50</v>
      </c>
      <c r="R260" t="s">
        <v>22</v>
      </c>
      <c r="S260" s="8" t="str">
        <f t="shared" si="12"/>
        <v>Normal</v>
      </c>
      <c r="T260" s="8" t="str">
        <f t="shared" si="13"/>
        <v>Low</v>
      </c>
      <c r="U260" s="8" t="str">
        <f t="shared" si="14"/>
        <v>Night</v>
      </c>
      <c r="V260" s="8"/>
      <c r="W260" s="8"/>
    </row>
    <row r="261" spans="1:23" ht="15.75" thickBot="1" x14ac:dyDescent="0.3">
      <c r="A261" s="5">
        <v>260</v>
      </c>
      <c r="B261" s="6">
        <v>40555</v>
      </c>
      <c r="C261" s="5">
        <v>1</v>
      </c>
      <c r="D261" s="5">
        <v>0</v>
      </c>
      <c r="E261" s="5">
        <v>1</v>
      </c>
      <c r="F261" s="5">
        <v>6</v>
      </c>
      <c r="G261" s="7" t="b">
        <v>0</v>
      </c>
      <c r="H261" s="5">
        <v>3</v>
      </c>
      <c r="I261" s="5">
        <v>1</v>
      </c>
      <c r="J261" s="5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  <c r="Q261" t="s">
        <v>50</v>
      </c>
      <c r="R261" t="s">
        <v>22</v>
      </c>
      <c r="S261" s="8" t="str">
        <f t="shared" si="12"/>
        <v>Normal</v>
      </c>
      <c r="T261" s="8" t="str">
        <f t="shared" si="13"/>
        <v>Low</v>
      </c>
      <c r="U261" s="8" t="str">
        <f t="shared" si="14"/>
        <v>Morning</v>
      </c>
      <c r="V261" s="8"/>
      <c r="W261" s="8"/>
    </row>
    <row r="262" spans="1:23" ht="15.75" thickBot="1" x14ac:dyDescent="0.3">
      <c r="A262" s="5">
        <v>261</v>
      </c>
      <c r="B262" s="6">
        <v>40555</v>
      </c>
      <c r="C262" s="5">
        <v>1</v>
      </c>
      <c r="D262" s="5">
        <v>0</v>
      </c>
      <c r="E262" s="5">
        <v>1</v>
      </c>
      <c r="F262" s="5">
        <v>7</v>
      </c>
      <c r="G262" s="7" t="b">
        <v>0</v>
      </c>
      <c r="H262" s="5">
        <v>3</v>
      </c>
      <c r="I262" s="5">
        <v>1</v>
      </c>
      <c r="J262" s="5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  <c r="Q262" t="s">
        <v>50</v>
      </c>
      <c r="R262" t="s">
        <v>22</v>
      </c>
      <c r="S262" s="8" t="str">
        <f t="shared" si="12"/>
        <v>Rush Hour</v>
      </c>
      <c r="T262" s="8" t="str">
        <f t="shared" si="13"/>
        <v>Medium</v>
      </c>
      <c r="U262" s="8" t="str">
        <f t="shared" si="14"/>
        <v>Morning</v>
      </c>
      <c r="V262" s="8"/>
      <c r="W262" s="8"/>
    </row>
    <row r="263" spans="1:23" ht="15.75" thickBot="1" x14ac:dyDescent="0.3">
      <c r="A263" s="5">
        <v>262</v>
      </c>
      <c r="B263" s="6">
        <v>40555</v>
      </c>
      <c r="C263" s="5">
        <v>1</v>
      </c>
      <c r="D263" s="5">
        <v>0</v>
      </c>
      <c r="E263" s="5">
        <v>1</v>
      </c>
      <c r="F263" s="5">
        <v>8</v>
      </c>
      <c r="G263" s="7" t="b">
        <v>0</v>
      </c>
      <c r="H263" s="5">
        <v>3</v>
      </c>
      <c r="I263" s="5">
        <v>1</v>
      </c>
      <c r="J263" s="5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  <c r="Q263" t="s">
        <v>50</v>
      </c>
      <c r="R263" t="s">
        <v>22</v>
      </c>
      <c r="S263" s="8" t="str">
        <f t="shared" si="12"/>
        <v>Rush Hour</v>
      </c>
      <c r="T263" s="8" t="str">
        <f t="shared" si="13"/>
        <v>Medium</v>
      </c>
      <c r="U263" s="8" t="str">
        <f t="shared" si="14"/>
        <v>Morning</v>
      </c>
      <c r="V263" s="8"/>
      <c r="W263" s="8"/>
    </row>
    <row r="264" spans="1:23" ht="15.75" thickBot="1" x14ac:dyDescent="0.3">
      <c r="A264" s="5">
        <v>263</v>
      </c>
      <c r="B264" s="6">
        <v>40555</v>
      </c>
      <c r="C264" s="5">
        <v>1</v>
      </c>
      <c r="D264" s="5">
        <v>0</v>
      </c>
      <c r="E264" s="5">
        <v>1</v>
      </c>
      <c r="F264" s="5">
        <v>9</v>
      </c>
      <c r="G264" s="7" t="b">
        <v>0</v>
      </c>
      <c r="H264" s="5">
        <v>3</v>
      </c>
      <c r="I264" s="5">
        <v>1</v>
      </c>
      <c r="J264" s="5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  <c r="Q264" t="s">
        <v>50</v>
      </c>
      <c r="R264" t="s">
        <v>22</v>
      </c>
      <c r="S264" s="8" t="str">
        <f t="shared" si="12"/>
        <v>Rush Hour</v>
      </c>
      <c r="T264" s="8" t="str">
        <f t="shared" si="13"/>
        <v>Medium</v>
      </c>
      <c r="U264" s="8" t="str">
        <f t="shared" si="14"/>
        <v>Morning</v>
      </c>
      <c r="V264" s="8"/>
      <c r="W264" s="8"/>
    </row>
    <row r="265" spans="1:23" ht="15.75" thickBot="1" x14ac:dyDescent="0.3">
      <c r="A265" s="5">
        <v>264</v>
      </c>
      <c r="B265" s="6">
        <v>40555</v>
      </c>
      <c r="C265" s="5">
        <v>1</v>
      </c>
      <c r="D265" s="5">
        <v>0</v>
      </c>
      <c r="E265" s="5">
        <v>1</v>
      </c>
      <c r="F265" s="5">
        <v>10</v>
      </c>
      <c r="G265" s="7" t="b">
        <v>0</v>
      </c>
      <c r="H265" s="5">
        <v>3</v>
      </c>
      <c r="I265" s="5">
        <v>1</v>
      </c>
      <c r="J265" s="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  <c r="Q265" t="s">
        <v>50</v>
      </c>
      <c r="R265" t="s">
        <v>22</v>
      </c>
      <c r="S265" s="8" t="str">
        <f t="shared" si="12"/>
        <v>Normal</v>
      </c>
      <c r="T265" s="8" t="str">
        <f t="shared" si="13"/>
        <v>Low</v>
      </c>
      <c r="U265" s="8" t="str">
        <f t="shared" si="14"/>
        <v>Morning</v>
      </c>
      <c r="V265" s="8"/>
      <c r="W265" s="8"/>
    </row>
    <row r="266" spans="1:23" ht="15.75" thickBot="1" x14ac:dyDescent="0.3">
      <c r="A266" s="5">
        <v>265</v>
      </c>
      <c r="B266" s="6">
        <v>40555</v>
      </c>
      <c r="C266" s="5">
        <v>1</v>
      </c>
      <c r="D266" s="5">
        <v>0</v>
      </c>
      <c r="E266" s="5">
        <v>1</v>
      </c>
      <c r="F266" s="5">
        <v>11</v>
      </c>
      <c r="G266" s="7" t="b">
        <v>0</v>
      </c>
      <c r="H266" s="5">
        <v>3</v>
      </c>
      <c r="I266" s="5">
        <v>1</v>
      </c>
      <c r="J266" s="5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  <c r="Q266" t="s">
        <v>50</v>
      </c>
      <c r="R266" t="s">
        <v>22</v>
      </c>
      <c r="S266" s="8" t="str">
        <f t="shared" si="12"/>
        <v>Normal</v>
      </c>
      <c r="T266" s="8" t="str">
        <f t="shared" si="13"/>
        <v>Low</v>
      </c>
      <c r="U266" s="8" t="str">
        <f t="shared" si="14"/>
        <v>Morning</v>
      </c>
      <c r="V266" s="8"/>
      <c r="W266" s="8"/>
    </row>
    <row r="267" spans="1:23" ht="15.75" thickBot="1" x14ac:dyDescent="0.3">
      <c r="A267" s="5">
        <v>266</v>
      </c>
      <c r="B267" s="6">
        <v>40555</v>
      </c>
      <c r="C267" s="5">
        <v>1</v>
      </c>
      <c r="D267" s="5">
        <v>0</v>
      </c>
      <c r="E267" s="5">
        <v>1</v>
      </c>
      <c r="F267" s="5">
        <v>12</v>
      </c>
      <c r="G267" s="7" t="b">
        <v>0</v>
      </c>
      <c r="H267" s="5">
        <v>3</v>
      </c>
      <c r="I267" s="5">
        <v>1</v>
      </c>
      <c r="J267" s="5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  <c r="Q267" t="s">
        <v>50</v>
      </c>
      <c r="R267" t="s">
        <v>22</v>
      </c>
      <c r="S267" s="8" t="str">
        <f t="shared" si="12"/>
        <v>Normal</v>
      </c>
      <c r="T267" s="8" t="str">
        <f t="shared" si="13"/>
        <v>Medium</v>
      </c>
      <c r="U267" s="8" t="str">
        <f t="shared" si="14"/>
        <v>Afternoon</v>
      </c>
      <c r="V267" s="8"/>
      <c r="W267" s="8"/>
    </row>
    <row r="268" spans="1:23" ht="15.75" thickBot="1" x14ac:dyDescent="0.3">
      <c r="A268" s="5">
        <v>267</v>
      </c>
      <c r="B268" s="6">
        <v>40555</v>
      </c>
      <c r="C268" s="5">
        <v>1</v>
      </c>
      <c r="D268" s="5">
        <v>0</v>
      </c>
      <c r="E268" s="5">
        <v>1</v>
      </c>
      <c r="F268" s="5">
        <v>13</v>
      </c>
      <c r="G268" s="7" t="b">
        <v>0</v>
      </c>
      <c r="H268" s="5">
        <v>3</v>
      </c>
      <c r="I268" s="5">
        <v>1</v>
      </c>
      <c r="J268" s="5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  <c r="Q268" t="s">
        <v>50</v>
      </c>
      <c r="R268" t="s">
        <v>22</v>
      </c>
      <c r="S268" s="8" t="str">
        <f t="shared" si="12"/>
        <v>Normal</v>
      </c>
      <c r="T268" s="8" t="str">
        <f t="shared" si="13"/>
        <v>Low</v>
      </c>
      <c r="U268" s="8" t="str">
        <f t="shared" si="14"/>
        <v>Afternoon</v>
      </c>
      <c r="V268" s="8"/>
      <c r="W268" s="8"/>
    </row>
    <row r="269" spans="1:23" ht="15.75" thickBot="1" x14ac:dyDescent="0.3">
      <c r="A269" s="5">
        <v>268</v>
      </c>
      <c r="B269" s="6">
        <v>40555</v>
      </c>
      <c r="C269" s="5">
        <v>1</v>
      </c>
      <c r="D269" s="5">
        <v>0</v>
      </c>
      <c r="E269" s="5">
        <v>1</v>
      </c>
      <c r="F269" s="5">
        <v>14</v>
      </c>
      <c r="G269" s="7" t="b">
        <v>0</v>
      </c>
      <c r="H269" s="5">
        <v>3</v>
      </c>
      <c r="I269" s="5">
        <v>1</v>
      </c>
      <c r="J269" s="5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  <c r="Q269" t="s">
        <v>50</v>
      </c>
      <c r="R269" t="s">
        <v>22</v>
      </c>
      <c r="S269" s="8" t="str">
        <f t="shared" si="12"/>
        <v>Normal</v>
      </c>
      <c r="T269" s="8" t="str">
        <f t="shared" si="13"/>
        <v>Low</v>
      </c>
      <c r="U269" s="8" t="str">
        <f t="shared" si="14"/>
        <v>Afternoon</v>
      </c>
      <c r="V269" s="8"/>
      <c r="W269" s="8"/>
    </row>
    <row r="270" spans="1:23" ht="15.75" thickBot="1" x14ac:dyDescent="0.3">
      <c r="A270" s="5">
        <v>269</v>
      </c>
      <c r="B270" s="6">
        <v>40555</v>
      </c>
      <c r="C270" s="5">
        <v>1</v>
      </c>
      <c r="D270" s="5">
        <v>0</v>
      </c>
      <c r="E270" s="5">
        <v>1</v>
      </c>
      <c r="F270" s="5">
        <v>15</v>
      </c>
      <c r="G270" s="7" t="b">
        <v>0</v>
      </c>
      <c r="H270" s="5">
        <v>3</v>
      </c>
      <c r="I270" s="5">
        <v>1</v>
      </c>
      <c r="J270" s="5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  <c r="Q270" t="s">
        <v>50</v>
      </c>
      <c r="R270" t="s">
        <v>22</v>
      </c>
      <c r="S270" s="8" t="str">
        <f t="shared" si="12"/>
        <v>Normal</v>
      </c>
      <c r="T270" s="8" t="str">
        <f t="shared" si="13"/>
        <v>Low</v>
      </c>
      <c r="U270" s="8" t="str">
        <f t="shared" si="14"/>
        <v>Afternoon</v>
      </c>
      <c r="V270" s="8"/>
      <c r="W270" s="8"/>
    </row>
    <row r="271" spans="1:23" ht="15.75" thickBot="1" x14ac:dyDescent="0.3">
      <c r="A271" s="5">
        <v>270</v>
      </c>
      <c r="B271" s="6">
        <v>40555</v>
      </c>
      <c r="C271" s="5">
        <v>1</v>
      </c>
      <c r="D271" s="5">
        <v>0</v>
      </c>
      <c r="E271" s="5">
        <v>1</v>
      </c>
      <c r="F271" s="5">
        <v>16</v>
      </c>
      <c r="G271" s="7" t="b">
        <v>0</v>
      </c>
      <c r="H271" s="5">
        <v>3</v>
      </c>
      <c r="I271" s="5">
        <v>1</v>
      </c>
      <c r="J271" s="5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  <c r="Q271" t="s">
        <v>50</v>
      </c>
      <c r="R271" t="s">
        <v>22</v>
      </c>
      <c r="S271" s="8" t="str">
        <f t="shared" si="12"/>
        <v>Normal</v>
      </c>
      <c r="T271" s="8" t="str">
        <f t="shared" si="13"/>
        <v>Medium</v>
      </c>
      <c r="U271" s="8" t="str">
        <f t="shared" si="14"/>
        <v>Afternoon</v>
      </c>
      <c r="V271" s="8"/>
      <c r="W271" s="8"/>
    </row>
    <row r="272" spans="1:23" ht="15.75" thickBot="1" x14ac:dyDescent="0.3">
      <c r="A272" s="5">
        <v>271</v>
      </c>
      <c r="B272" s="6">
        <v>40555</v>
      </c>
      <c r="C272" s="5">
        <v>1</v>
      </c>
      <c r="D272" s="5">
        <v>0</v>
      </c>
      <c r="E272" s="5">
        <v>1</v>
      </c>
      <c r="F272" s="5">
        <v>17</v>
      </c>
      <c r="G272" s="7" t="b">
        <v>0</v>
      </c>
      <c r="H272" s="5">
        <v>3</v>
      </c>
      <c r="I272" s="5">
        <v>1</v>
      </c>
      <c r="J272" s="5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  <c r="Q272" t="s">
        <v>50</v>
      </c>
      <c r="R272" t="s">
        <v>22</v>
      </c>
      <c r="S272" s="8" t="str">
        <f t="shared" si="12"/>
        <v>Rush Hour</v>
      </c>
      <c r="T272" s="8" t="str">
        <f t="shared" si="13"/>
        <v>Medium</v>
      </c>
      <c r="U272" s="8" t="str">
        <f t="shared" si="14"/>
        <v>Afternoon</v>
      </c>
      <c r="V272" s="8"/>
      <c r="W272" s="8"/>
    </row>
    <row r="273" spans="1:23" ht="15.75" thickBot="1" x14ac:dyDescent="0.3">
      <c r="A273" s="5">
        <v>272</v>
      </c>
      <c r="B273" s="6">
        <v>40555</v>
      </c>
      <c r="C273" s="5">
        <v>1</v>
      </c>
      <c r="D273" s="5">
        <v>0</v>
      </c>
      <c r="E273" s="5">
        <v>1</v>
      </c>
      <c r="F273" s="5">
        <v>18</v>
      </c>
      <c r="G273" s="7" t="b">
        <v>0</v>
      </c>
      <c r="H273" s="5">
        <v>3</v>
      </c>
      <c r="I273" s="5">
        <v>1</v>
      </c>
      <c r="J273" s="5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  <c r="Q273" t="s">
        <v>50</v>
      </c>
      <c r="R273" t="s">
        <v>22</v>
      </c>
      <c r="S273" s="8" t="str">
        <f t="shared" si="12"/>
        <v>Rush Hour</v>
      </c>
      <c r="T273" s="8" t="str">
        <f t="shared" si="13"/>
        <v>Medium</v>
      </c>
      <c r="U273" s="8" t="str">
        <f t="shared" si="14"/>
        <v>Evening</v>
      </c>
      <c r="V273" s="8"/>
      <c r="W273" s="8"/>
    </row>
    <row r="274" spans="1:23" ht="15.75" thickBot="1" x14ac:dyDescent="0.3">
      <c r="A274" s="5">
        <v>273</v>
      </c>
      <c r="B274" s="6">
        <v>40555</v>
      </c>
      <c r="C274" s="5">
        <v>1</v>
      </c>
      <c r="D274" s="5">
        <v>0</v>
      </c>
      <c r="E274" s="5">
        <v>1</v>
      </c>
      <c r="F274" s="5">
        <v>19</v>
      </c>
      <c r="G274" s="7" t="b">
        <v>0</v>
      </c>
      <c r="H274" s="5">
        <v>3</v>
      </c>
      <c r="I274" s="5">
        <v>1</v>
      </c>
      <c r="J274" s="5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  <c r="Q274" t="s">
        <v>50</v>
      </c>
      <c r="R274" t="s">
        <v>22</v>
      </c>
      <c r="S274" s="8" t="str">
        <f t="shared" si="12"/>
        <v>Rush Hour</v>
      </c>
      <c r="T274" s="8" t="str">
        <f t="shared" si="13"/>
        <v>Medium</v>
      </c>
      <c r="U274" s="8" t="str">
        <f t="shared" si="14"/>
        <v>Evening</v>
      </c>
      <c r="V274" s="8"/>
      <c r="W274" s="8"/>
    </row>
    <row r="275" spans="1:23" ht="15.75" thickBot="1" x14ac:dyDescent="0.3">
      <c r="A275" s="5">
        <v>274</v>
      </c>
      <c r="B275" s="6">
        <v>40555</v>
      </c>
      <c r="C275" s="5">
        <v>1</v>
      </c>
      <c r="D275" s="5">
        <v>0</v>
      </c>
      <c r="E275" s="5">
        <v>1</v>
      </c>
      <c r="F275" s="5">
        <v>20</v>
      </c>
      <c r="G275" s="7" t="b">
        <v>0</v>
      </c>
      <c r="H275" s="5">
        <v>3</v>
      </c>
      <c r="I275" s="5">
        <v>1</v>
      </c>
      <c r="J275" s="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  <c r="Q275" t="s">
        <v>50</v>
      </c>
      <c r="R275" t="s">
        <v>22</v>
      </c>
      <c r="S275" s="8" t="str">
        <f t="shared" si="12"/>
        <v>Normal</v>
      </c>
      <c r="T275" s="8" t="str">
        <f t="shared" si="13"/>
        <v>Medium</v>
      </c>
      <c r="U275" s="8" t="str">
        <f t="shared" si="14"/>
        <v>Evening</v>
      </c>
      <c r="V275" s="8"/>
      <c r="W275" s="8"/>
    </row>
    <row r="276" spans="1:23" ht="15.75" thickBot="1" x14ac:dyDescent="0.3">
      <c r="A276" s="5">
        <v>275</v>
      </c>
      <c r="B276" s="6">
        <v>40555</v>
      </c>
      <c r="C276" s="5">
        <v>1</v>
      </c>
      <c r="D276" s="5">
        <v>0</v>
      </c>
      <c r="E276" s="5">
        <v>1</v>
      </c>
      <c r="F276" s="5">
        <v>21</v>
      </c>
      <c r="G276" s="7" t="b">
        <v>0</v>
      </c>
      <c r="H276" s="5">
        <v>3</v>
      </c>
      <c r="I276" s="5">
        <v>1</v>
      </c>
      <c r="J276" s="5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  <c r="Q276" t="s">
        <v>50</v>
      </c>
      <c r="R276" t="s">
        <v>22</v>
      </c>
      <c r="S276" s="8" t="str">
        <f t="shared" si="12"/>
        <v>Normal</v>
      </c>
      <c r="T276" s="8" t="str">
        <f t="shared" si="13"/>
        <v>Medium</v>
      </c>
      <c r="U276" s="8" t="str">
        <f t="shared" si="14"/>
        <v>Evening</v>
      </c>
      <c r="V276" s="8"/>
      <c r="W276" s="8"/>
    </row>
    <row r="277" spans="1:23" ht="15.75" thickBot="1" x14ac:dyDescent="0.3">
      <c r="A277" s="5">
        <v>276</v>
      </c>
      <c r="B277" s="6">
        <v>40555</v>
      </c>
      <c r="C277" s="5">
        <v>1</v>
      </c>
      <c r="D277" s="5">
        <v>0</v>
      </c>
      <c r="E277" s="5">
        <v>1</v>
      </c>
      <c r="F277" s="5">
        <v>22</v>
      </c>
      <c r="G277" s="7" t="b">
        <v>0</v>
      </c>
      <c r="H277" s="5">
        <v>3</v>
      </c>
      <c r="I277" s="5">
        <v>1</v>
      </c>
      <c r="J277" s="5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  <c r="Q277" t="s">
        <v>50</v>
      </c>
      <c r="R277" t="s">
        <v>22</v>
      </c>
      <c r="S277" s="8" t="str">
        <f t="shared" si="12"/>
        <v>Normal</v>
      </c>
      <c r="T277" s="8" t="str">
        <f t="shared" si="13"/>
        <v>Low</v>
      </c>
      <c r="U277" s="8" t="str">
        <f t="shared" si="14"/>
        <v>Evening</v>
      </c>
      <c r="V277" s="8"/>
      <c r="W277" s="8"/>
    </row>
    <row r="278" spans="1:23" ht="15.75" thickBot="1" x14ac:dyDescent="0.3">
      <c r="A278" s="5">
        <v>277</v>
      </c>
      <c r="B278" s="6">
        <v>40555</v>
      </c>
      <c r="C278" s="5">
        <v>1</v>
      </c>
      <c r="D278" s="5">
        <v>0</v>
      </c>
      <c r="E278" s="5">
        <v>1</v>
      </c>
      <c r="F278" s="5">
        <v>23</v>
      </c>
      <c r="G278" s="7" t="b">
        <v>0</v>
      </c>
      <c r="H278" s="5">
        <v>3</v>
      </c>
      <c r="I278" s="5">
        <v>1</v>
      </c>
      <c r="J278" s="5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  <c r="Q278" t="s">
        <v>50</v>
      </c>
      <c r="R278" t="s">
        <v>22</v>
      </c>
      <c r="S278" s="8" t="str">
        <f t="shared" si="12"/>
        <v>Normal</v>
      </c>
      <c r="T278" s="8" t="str">
        <f t="shared" si="13"/>
        <v>Low</v>
      </c>
      <c r="U278" s="8" t="str">
        <f t="shared" si="14"/>
        <v>Evening</v>
      </c>
      <c r="V278" s="8"/>
      <c r="W278" s="8"/>
    </row>
    <row r="279" spans="1:23" ht="15.75" thickBot="1" x14ac:dyDescent="0.3">
      <c r="A279" s="5">
        <v>278</v>
      </c>
      <c r="B279" s="6">
        <v>40556</v>
      </c>
      <c r="C279" s="5">
        <v>1</v>
      </c>
      <c r="D279" s="5">
        <v>0</v>
      </c>
      <c r="E279" s="5">
        <v>1</v>
      </c>
      <c r="F279" s="5">
        <v>0</v>
      </c>
      <c r="G279" s="7" t="b">
        <v>0</v>
      </c>
      <c r="H279" s="5">
        <v>4</v>
      </c>
      <c r="I279" s="5">
        <v>1</v>
      </c>
      <c r="J279" s="5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  <c r="Q279" t="s">
        <v>51</v>
      </c>
      <c r="R279" t="s">
        <v>22</v>
      </c>
      <c r="S279" s="8" t="str">
        <f t="shared" si="12"/>
        <v>Normal</v>
      </c>
      <c r="T279" s="8" t="str">
        <f t="shared" si="13"/>
        <v>Low</v>
      </c>
      <c r="U279" s="8" t="str">
        <f t="shared" si="14"/>
        <v>Night</v>
      </c>
      <c r="V279" s="8"/>
      <c r="W279" s="8"/>
    </row>
    <row r="280" spans="1:23" ht="15.75" thickBot="1" x14ac:dyDescent="0.3">
      <c r="A280" s="5">
        <v>279</v>
      </c>
      <c r="B280" s="6">
        <v>40556</v>
      </c>
      <c r="C280" s="5">
        <v>1</v>
      </c>
      <c r="D280" s="5">
        <v>0</v>
      </c>
      <c r="E280" s="5">
        <v>1</v>
      </c>
      <c r="F280" s="5">
        <v>1</v>
      </c>
      <c r="G280" s="7" t="b">
        <v>0</v>
      </c>
      <c r="H280" s="5">
        <v>4</v>
      </c>
      <c r="I280" s="5">
        <v>1</v>
      </c>
      <c r="J280" s="5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  <c r="Q280" t="s">
        <v>51</v>
      </c>
      <c r="R280" t="s">
        <v>22</v>
      </c>
      <c r="S280" s="8" t="str">
        <f t="shared" si="12"/>
        <v>Normal</v>
      </c>
      <c r="T280" s="8" t="str">
        <f t="shared" si="13"/>
        <v>Low</v>
      </c>
      <c r="U280" s="8" t="str">
        <f t="shared" si="14"/>
        <v>Night</v>
      </c>
      <c r="V280" s="8"/>
      <c r="W280" s="8"/>
    </row>
    <row r="281" spans="1:23" ht="15.75" thickBot="1" x14ac:dyDescent="0.3">
      <c r="A281" s="5">
        <v>280</v>
      </c>
      <c r="B281" s="6">
        <v>40556</v>
      </c>
      <c r="C281" s="5">
        <v>1</v>
      </c>
      <c r="D281" s="5">
        <v>0</v>
      </c>
      <c r="E281" s="5">
        <v>1</v>
      </c>
      <c r="F281" s="5">
        <v>2</v>
      </c>
      <c r="G281" s="7" t="b">
        <v>0</v>
      </c>
      <c r="H281" s="5">
        <v>4</v>
      </c>
      <c r="I281" s="5">
        <v>1</v>
      </c>
      <c r="J281" s="5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  <c r="Q281" t="s">
        <v>51</v>
      </c>
      <c r="R281" t="s">
        <v>22</v>
      </c>
      <c r="S281" s="8" t="str">
        <f t="shared" si="12"/>
        <v>Normal</v>
      </c>
      <c r="T281" s="8" t="str">
        <f t="shared" si="13"/>
        <v>Low</v>
      </c>
      <c r="U281" s="8" t="str">
        <f t="shared" si="14"/>
        <v>Night</v>
      </c>
      <c r="V281" s="8"/>
      <c r="W281" s="8"/>
    </row>
    <row r="282" spans="1:23" ht="15.75" thickBot="1" x14ac:dyDescent="0.3">
      <c r="A282" s="5">
        <v>281</v>
      </c>
      <c r="B282" s="6">
        <v>40556</v>
      </c>
      <c r="C282" s="5">
        <v>1</v>
      </c>
      <c r="D282" s="5">
        <v>0</v>
      </c>
      <c r="E282" s="5">
        <v>1</v>
      </c>
      <c r="F282" s="5">
        <v>3</v>
      </c>
      <c r="G282" s="7" t="b">
        <v>0</v>
      </c>
      <c r="H282" s="5">
        <v>4</v>
      </c>
      <c r="I282" s="5">
        <v>1</v>
      </c>
      <c r="J282" s="5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  <c r="Q282" t="s">
        <v>51</v>
      </c>
      <c r="R282" t="s">
        <v>22</v>
      </c>
      <c r="S282" s="8" t="str">
        <f t="shared" si="12"/>
        <v>Normal</v>
      </c>
      <c r="T282" s="8" t="str">
        <f t="shared" si="13"/>
        <v>Low</v>
      </c>
      <c r="U282" s="8" t="str">
        <f t="shared" si="14"/>
        <v>Night</v>
      </c>
      <c r="V282" s="8"/>
      <c r="W282" s="8"/>
    </row>
    <row r="283" spans="1:23" ht="15.75" thickBot="1" x14ac:dyDescent="0.3">
      <c r="A283" s="5">
        <v>282</v>
      </c>
      <c r="B283" s="6">
        <v>40556</v>
      </c>
      <c r="C283" s="5">
        <v>1</v>
      </c>
      <c r="D283" s="5">
        <v>0</v>
      </c>
      <c r="E283" s="5">
        <v>1</v>
      </c>
      <c r="F283" s="5">
        <v>4</v>
      </c>
      <c r="G283" s="7" t="b">
        <v>0</v>
      </c>
      <c r="H283" s="5">
        <v>4</v>
      </c>
      <c r="I283" s="5">
        <v>1</v>
      </c>
      <c r="J283" s="5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  <c r="Q283" t="s">
        <v>51</v>
      </c>
      <c r="R283" t="s">
        <v>22</v>
      </c>
      <c r="S283" s="8" t="str">
        <f t="shared" si="12"/>
        <v>Normal</v>
      </c>
      <c r="T283" s="8" t="str">
        <f t="shared" si="13"/>
        <v>Low</v>
      </c>
      <c r="U283" s="8" t="str">
        <f t="shared" si="14"/>
        <v>Night</v>
      </c>
      <c r="V283" s="8"/>
      <c r="W283" s="8"/>
    </row>
    <row r="284" spans="1:23" ht="15.75" thickBot="1" x14ac:dyDescent="0.3">
      <c r="A284" s="5">
        <v>283</v>
      </c>
      <c r="B284" s="6">
        <v>40556</v>
      </c>
      <c r="C284" s="5">
        <v>1</v>
      </c>
      <c r="D284" s="5">
        <v>0</v>
      </c>
      <c r="E284" s="5">
        <v>1</v>
      </c>
      <c r="F284" s="5">
        <v>5</v>
      </c>
      <c r="G284" s="7" t="b">
        <v>0</v>
      </c>
      <c r="H284" s="5">
        <v>4</v>
      </c>
      <c r="I284" s="5">
        <v>1</v>
      </c>
      <c r="J284" s="5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  <c r="Q284" t="s">
        <v>51</v>
      </c>
      <c r="R284" t="s">
        <v>22</v>
      </c>
      <c r="S284" s="8" t="str">
        <f t="shared" si="12"/>
        <v>Normal</v>
      </c>
      <c r="T284" s="8" t="str">
        <f t="shared" si="13"/>
        <v>Low</v>
      </c>
      <c r="U284" s="8" t="str">
        <f t="shared" si="14"/>
        <v>Night</v>
      </c>
      <c r="V284" s="8"/>
      <c r="W284" s="8"/>
    </row>
    <row r="285" spans="1:23" ht="15.75" thickBot="1" x14ac:dyDescent="0.3">
      <c r="A285" s="5">
        <v>284</v>
      </c>
      <c r="B285" s="6">
        <v>40556</v>
      </c>
      <c r="C285" s="5">
        <v>1</v>
      </c>
      <c r="D285" s="5">
        <v>0</v>
      </c>
      <c r="E285" s="5">
        <v>1</v>
      </c>
      <c r="F285" s="5">
        <v>6</v>
      </c>
      <c r="G285" s="7" t="b">
        <v>0</v>
      </c>
      <c r="H285" s="5">
        <v>4</v>
      </c>
      <c r="I285" s="5">
        <v>1</v>
      </c>
      <c r="J285" s="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  <c r="Q285" t="s">
        <v>51</v>
      </c>
      <c r="R285" t="s">
        <v>22</v>
      </c>
      <c r="S285" s="8" t="str">
        <f t="shared" si="12"/>
        <v>Normal</v>
      </c>
      <c r="T285" s="8" t="str">
        <f t="shared" si="13"/>
        <v>Low</v>
      </c>
      <c r="U285" s="8" t="str">
        <f t="shared" si="14"/>
        <v>Morning</v>
      </c>
      <c r="V285" s="8"/>
      <c r="W285" s="8"/>
    </row>
    <row r="286" spans="1:23" ht="15.75" thickBot="1" x14ac:dyDescent="0.3">
      <c r="A286" s="5">
        <v>285</v>
      </c>
      <c r="B286" s="6">
        <v>40556</v>
      </c>
      <c r="C286" s="5">
        <v>1</v>
      </c>
      <c r="D286" s="5">
        <v>0</v>
      </c>
      <c r="E286" s="5">
        <v>1</v>
      </c>
      <c r="F286" s="5">
        <v>7</v>
      </c>
      <c r="G286" s="7" t="b">
        <v>0</v>
      </c>
      <c r="H286" s="5">
        <v>4</v>
      </c>
      <c r="I286" s="5">
        <v>1</v>
      </c>
      <c r="J286" s="5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  <c r="Q286" t="s">
        <v>51</v>
      </c>
      <c r="R286" t="s">
        <v>22</v>
      </c>
      <c r="S286" s="8" t="str">
        <f t="shared" si="12"/>
        <v>Rush Hour</v>
      </c>
      <c r="T286" s="8" t="str">
        <f t="shared" si="13"/>
        <v>Medium</v>
      </c>
      <c r="U286" s="8" t="str">
        <f t="shared" si="14"/>
        <v>Morning</v>
      </c>
      <c r="V286" s="8"/>
      <c r="W286" s="8"/>
    </row>
    <row r="287" spans="1:23" ht="15.75" thickBot="1" x14ac:dyDescent="0.3">
      <c r="A287" s="5">
        <v>286</v>
      </c>
      <c r="B287" s="6">
        <v>40556</v>
      </c>
      <c r="C287" s="5">
        <v>1</v>
      </c>
      <c r="D287" s="5">
        <v>0</v>
      </c>
      <c r="E287" s="5">
        <v>1</v>
      </c>
      <c r="F287" s="5">
        <v>8</v>
      </c>
      <c r="G287" s="7" t="b">
        <v>0</v>
      </c>
      <c r="H287" s="5">
        <v>4</v>
      </c>
      <c r="I287" s="5">
        <v>1</v>
      </c>
      <c r="J287" s="5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  <c r="Q287" t="s">
        <v>51</v>
      </c>
      <c r="R287" t="s">
        <v>22</v>
      </c>
      <c r="S287" s="8" t="str">
        <f t="shared" si="12"/>
        <v>Rush Hour</v>
      </c>
      <c r="T287" s="8" t="str">
        <f t="shared" si="13"/>
        <v>High</v>
      </c>
      <c r="U287" s="8" t="str">
        <f t="shared" si="14"/>
        <v>Morning</v>
      </c>
      <c r="V287" s="8"/>
      <c r="W287" s="8"/>
    </row>
    <row r="288" spans="1:23" ht="15.75" thickBot="1" x14ac:dyDescent="0.3">
      <c r="A288" s="5">
        <v>287</v>
      </c>
      <c r="B288" s="6">
        <v>40556</v>
      </c>
      <c r="C288" s="5">
        <v>1</v>
      </c>
      <c r="D288" s="5">
        <v>0</v>
      </c>
      <c r="E288" s="5">
        <v>1</v>
      </c>
      <c r="F288" s="5">
        <v>9</v>
      </c>
      <c r="G288" s="7" t="b">
        <v>0</v>
      </c>
      <c r="H288" s="5">
        <v>4</v>
      </c>
      <c r="I288" s="5">
        <v>1</v>
      </c>
      <c r="J288" s="5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  <c r="Q288" t="s">
        <v>51</v>
      </c>
      <c r="R288" t="s">
        <v>22</v>
      </c>
      <c r="S288" s="8" t="str">
        <f t="shared" si="12"/>
        <v>Rush Hour</v>
      </c>
      <c r="T288" s="8" t="str">
        <f t="shared" si="13"/>
        <v>Medium</v>
      </c>
      <c r="U288" s="8" t="str">
        <f t="shared" si="14"/>
        <v>Morning</v>
      </c>
      <c r="V288" s="8"/>
      <c r="W288" s="8"/>
    </row>
    <row r="289" spans="1:23" ht="15.75" thickBot="1" x14ac:dyDescent="0.3">
      <c r="A289" s="5">
        <v>288</v>
      </c>
      <c r="B289" s="6">
        <v>40556</v>
      </c>
      <c r="C289" s="5">
        <v>1</v>
      </c>
      <c r="D289" s="5">
        <v>0</v>
      </c>
      <c r="E289" s="5">
        <v>1</v>
      </c>
      <c r="F289" s="5">
        <v>10</v>
      </c>
      <c r="G289" s="7" t="b">
        <v>0</v>
      </c>
      <c r="H289" s="5">
        <v>4</v>
      </c>
      <c r="I289" s="5">
        <v>2</v>
      </c>
      <c r="J289" s="5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  <c r="Q289" t="s">
        <v>51</v>
      </c>
      <c r="R289" t="s">
        <v>26</v>
      </c>
      <c r="S289" s="8" t="str">
        <f t="shared" si="12"/>
        <v>Normal</v>
      </c>
      <c r="T289" s="8" t="str">
        <f t="shared" si="13"/>
        <v>Low</v>
      </c>
      <c r="U289" s="8" t="str">
        <f t="shared" si="14"/>
        <v>Morning</v>
      </c>
      <c r="V289" s="8"/>
      <c r="W289" s="8"/>
    </row>
    <row r="290" spans="1:23" ht="15.75" thickBot="1" x14ac:dyDescent="0.3">
      <c r="A290" s="5">
        <v>289</v>
      </c>
      <c r="B290" s="6">
        <v>40556</v>
      </c>
      <c r="C290" s="5">
        <v>1</v>
      </c>
      <c r="D290" s="5">
        <v>0</v>
      </c>
      <c r="E290" s="5">
        <v>1</v>
      </c>
      <c r="F290" s="5">
        <v>11</v>
      </c>
      <c r="G290" s="7" t="b">
        <v>0</v>
      </c>
      <c r="H290" s="5">
        <v>4</v>
      </c>
      <c r="I290" s="5">
        <v>2</v>
      </c>
      <c r="J290" s="5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  <c r="Q290" t="s">
        <v>51</v>
      </c>
      <c r="R290" t="s">
        <v>26</v>
      </c>
      <c r="S290" s="8" t="str">
        <f t="shared" si="12"/>
        <v>Normal</v>
      </c>
      <c r="T290" s="8" t="str">
        <f t="shared" si="13"/>
        <v>Low</v>
      </c>
      <c r="U290" s="8" t="str">
        <f t="shared" si="14"/>
        <v>Morning</v>
      </c>
      <c r="V290" s="8"/>
      <c r="W290" s="8"/>
    </row>
    <row r="291" spans="1:23" ht="15.75" thickBot="1" x14ac:dyDescent="0.3">
      <c r="A291" s="5">
        <v>290</v>
      </c>
      <c r="B291" s="6">
        <v>40556</v>
      </c>
      <c r="C291" s="5">
        <v>1</v>
      </c>
      <c r="D291" s="5">
        <v>0</v>
      </c>
      <c r="E291" s="5">
        <v>1</v>
      </c>
      <c r="F291" s="5">
        <v>12</v>
      </c>
      <c r="G291" s="7" t="b">
        <v>0</v>
      </c>
      <c r="H291" s="5">
        <v>4</v>
      </c>
      <c r="I291" s="5">
        <v>1</v>
      </c>
      <c r="J291" s="5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  <c r="Q291" t="s">
        <v>51</v>
      </c>
      <c r="R291" t="s">
        <v>22</v>
      </c>
      <c r="S291" s="8" t="str">
        <f t="shared" si="12"/>
        <v>Normal</v>
      </c>
      <c r="T291" s="8" t="str">
        <f t="shared" si="13"/>
        <v>Medium</v>
      </c>
      <c r="U291" s="8" t="str">
        <f t="shared" si="14"/>
        <v>Afternoon</v>
      </c>
      <c r="V291" s="8"/>
      <c r="W291" s="8"/>
    </row>
    <row r="292" spans="1:23" ht="15.75" thickBot="1" x14ac:dyDescent="0.3">
      <c r="A292" s="5">
        <v>291</v>
      </c>
      <c r="B292" s="6">
        <v>40556</v>
      </c>
      <c r="C292" s="5">
        <v>1</v>
      </c>
      <c r="D292" s="5">
        <v>0</v>
      </c>
      <c r="E292" s="5">
        <v>1</v>
      </c>
      <c r="F292" s="5">
        <v>13</v>
      </c>
      <c r="G292" s="7" t="b">
        <v>0</v>
      </c>
      <c r="H292" s="5">
        <v>4</v>
      </c>
      <c r="I292" s="5">
        <v>1</v>
      </c>
      <c r="J292" s="5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  <c r="Q292" t="s">
        <v>51</v>
      </c>
      <c r="R292" t="s">
        <v>22</v>
      </c>
      <c r="S292" s="8" t="str">
        <f t="shared" si="12"/>
        <v>Normal</v>
      </c>
      <c r="T292" s="8" t="str">
        <f t="shared" si="13"/>
        <v>Medium</v>
      </c>
      <c r="U292" s="8" t="str">
        <f t="shared" si="14"/>
        <v>Afternoon</v>
      </c>
      <c r="V292" s="8"/>
      <c r="W292" s="8"/>
    </row>
    <row r="293" spans="1:23" ht="15.75" thickBot="1" x14ac:dyDescent="0.3">
      <c r="A293" s="5">
        <v>292</v>
      </c>
      <c r="B293" s="6">
        <v>40556</v>
      </c>
      <c r="C293" s="5">
        <v>1</v>
      </c>
      <c r="D293" s="5">
        <v>0</v>
      </c>
      <c r="E293" s="5">
        <v>1</v>
      </c>
      <c r="F293" s="5">
        <v>14</v>
      </c>
      <c r="G293" s="7" t="b">
        <v>0</v>
      </c>
      <c r="H293" s="5">
        <v>4</v>
      </c>
      <c r="I293" s="5">
        <v>1</v>
      </c>
      <c r="J293" s="5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  <c r="Q293" t="s">
        <v>51</v>
      </c>
      <c r="R293" t="s">
        <v>22</v>
      </c>
      <c r="S293" s="8" t="str">
        <f t="shared" si="12"/>
        <v>Normal</v>
      </c>
      <c r="T293" s="8" t="str">
        <f t="shared" si="13"/>
        <v>Low</v>
      </c>
      <c r="U293" s="8" t="str">
        <f t="shared" si="14"/>
        <v>Afternoon</v>
      </c>
      <c r="V293" s="8"/>
      <c r="W293" s="8"/>
    </row>
    <row r="294" spans="1:23" ht="15.75" thickBot="1" x14ac:dyDescent="0.3">
      <c r="A294" s="5">
        <v>293</v>
      </c>
      <c r="B294" s="6">
        <v>40556</v>
      </c>
      <c r="C294" s="5">
        <v>1</v>
      </c>
      <c r="D294" s="5">
        <v>0</v>
      </c>
      <c r="E294" s="5">
        <v>1</v>
      </c>
      <c r="F294" s="5">
        <v>15</v>
      </c>
      <c r="G294" s="7" t="b">
        <v>0</v>
      </c>
      <c r="H294" s="5">
        <v>4</v>
      </c>
      <c r="I294" s="5">
        <v>1</v>
      </c>
      <c r="J294" s="5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  <c r="Q294" t="s">
        <v>51</v>
      </c>
      <c r="R294" t="s">
        <v>22</v>
      </c>
      <c r="S294" s="8" t="str">
        <f t="shared" si="12"/>
        <v>Normal</v>
      </c>
      <c r="T294" s="8" t="str">
        <f t="shared" si="13"/>
        <v>Medium</v>
      </c>
      <c r="U294" s="8" t="str">
        <f t="shared" si="14"/>
        <v>Afternoon</v>
      </c>
      <c r="V294" s="8"/>
      <c r="W294" s="8"/>
    </row>
    <row r="295" spans="1:23" ht="15.75" thickBot="1" x14ac:dyDescent="0.3">
      <c r="A295" s="5">
        <v>294</v>
      </c>
      <c r="B295" s="6">
        <v>40556</v>
      </c>
      <c r="C295" s="5">
        <v>1</v>
      </c>
      <c r="D295" s="5">
        <v>0</v>
      </c>
      <c r="E295" s="5">
        <v>1</v>
      </c>
      <c r="F295" s="5">
        <v>16</v>
      </c>
      <c r="G295" s="7" t="b">
        <v>0</v>
      </c>
      <c r="H295" s="5">
        <v>4</v>
      </c>
      <c r="I295" s="5">
        <v>1</v>
      </c>
      <c r="J295" s="5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  <c r="Q295" t="s">
        <v>51</v>
      </c>
      <c r="R295" t="s">
        <v>22</v>
      </c>
      <c r="S295" s="8" t="str">
        <f t="shared" si="12"/>
        <v>Normal</v>
      </c>
      <c r="T295" s="8" t="str">
        <f t="shared" si="13"/>
        <v>Medium</v>
      </c>
      <c r="U295" s="8" t="str">
        <f t="shared" si="14"/>
        <v>Afternoon</v>
      </c>
      <c r="V295" s="8"/>
      <c r="W295" s="8"/>
    </row>
    <row r="296" spans="1:23" ht="15.75" thickBot="1" x14ac:dyDescent="0.3">
      <c r="A296" s="5">
        <v>295</v>
      </c>
      <c r="B296" s="6">
        <v>40556</v>
      </c>
      <c r="C296" s="5">
        <v>1</v>
      </c>
      <c r="D296" s="5">
        <v>0</v>
      </c>
      <c r="E296" s="5">
        <v>1</v>
      </c>
      <c r="F296" s="5">
        <v>17</v>
      </c>
      <c r="G296" s="7" t="b">
        <v>0</v>
      </c>
      <c r="H296" s="5">
        <v>4</v>
      </c>
      <c r="I296" s="5">
        <v>1</v>
      </c>
      <c r="J296" s="5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  <c r="Q296" t="s">
        <v>51</v>
      </c>
      <c r="R296" t="s">
        <v>22</v>
      </c>
      <c r="S296" s="8" t="str">
        <f t="shared" si="12"/>
        <v>Rush Hour</v>
      </c>
      <c r="T296" s="8" t="str">
        <f t="shared" si="13"/>
        <v>High</v>
      </c>
      <c r="U296" s="8" t="str">
        <f t="shared" si="14"/>
        <v>Afternoon</v>
      </c>
      <c r="V296" s="8"/>
      <c r="W296" s="8"/>
    </row>
    <row r="297" spans="1:23" ht="15.75" thickBot="1" x14ac:dyDescent="0.3">
      <c r="A297" s="5">
        <v>296</v>
      </c>
      <c r="B297" s="6">
        <v>40556</v>
      </c>
      <c r="C297" s="5">
        <v>1</v>
      </c>
      <c r="D297" s="5">
        <v>0</v>
      </c>
      <c r="E297" s="5">
        <v>1</v>
      </c>
      <c r="F297" s="5">
        <v>18</v>
      </c>
      <c r="G297" s="7" t="b">
        <v>0</v>
      </c>
      <c r="H297" s="5">
        <v>4</v>
      </c>
      <c r="I297" s="5">
        <v>1</v>
      </c>
      <c r="J297" s="5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  <c r="Q297" t="s">
        <v>51</v>
      </c>
      <c r="R297" t="s">
        <v>22</v>
      </c>
      <c r="S297" s="8" t="str">
        <f t="shared" si="12"/>
        <v>Rush Hour</v>
      </c>
      <c r="T297" s="8" t="str">
        <f t="shared" si="13"/>
        <v>Medium</v>
      </c>
      <c r="U297" s="8" t="str">
        <f t="shared" si="14"/>
        <v>Evening</v>
      </c>
      <c r="V297" s="8"/>
      <c r="W297" s="8"/>
    </row>
    <row r="298" spans="1:23" ht="15.75" thickBot="1" x14ac:dyDescent="0.3">
      <c r="A298" s="5">
        <v>297</v>
      </c>
      <c r="B298" s="6">
        <v>40556</v>
      </c>
      <c r="C298" s="5">
        <v>1</v>
      </c>
      <c r="D298" s="5">
        <v>0</v>
      </c>
      <c r="E298" s="5">
        <v>1</v>
      </c>
      <c r="F298" s="5">
        <v>19</v>
      </c>
      <c r="G298" s="7" t="b">
        <v>0</v>
      </c>
      <c r="H298" s="5">
        <v>4</v>
      </c>
      <c r="I298" s="5">
        <v>1</v>
      </c>
      <c r="J298" s="5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  <c r="Q298" t="s">
        <v>51</v>
      </c>
      <c r="R298" t="s">
        <v>22</v>
      </c>
      <c r="S298" s="8" t="str">
        <f t="shared" si="12"/>
        <v>Rush Hour</v>
      </c>
      <c r="T298" s="8" t="str">
        <f t="shared" si="13"/>
        <v>Medium</v>
      </c>
      <c r="U298" s="8" t="str">
        <f t="shared" si="14"/>
        <v>Evening</v>
      </c>
      <c r="V298" s="8"/>
      <c r="W298" s="8"/>
    </row>
    <row r="299" spans="1:23" ht="15.75" thickBot="1" x14ac:dyDescent="0.3">
      <c r="A299" s="5">
        <v>298</v>
      </c>
      <c r="B299" s="6">
        <v>40556</v>
      </c>
      <c r="C299" s="5">
        <v>1</v>
      </c>
      <c r="D299" s="5">
        <v>0</v>
      </c>
      <c r="E299" s="5">
        <v>1</v>
      </c>
      <c r="F299" s="5">
        <v>20</v>
      </c>
      <c r="G299" s="7" t="b">
        <v>0</v>
      </c>
      <c r="H299" s="5">
        <v>4</v>
      </c>
      <c r="I299" s="5">
        <v>1</v>
      </c>
      <c r="J299" s="5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  <c r="Q299" t="s">
        <v>51</v>
      </c>
      <c r="R299" t="s">
        <v>22</v>
      </c>
      <c r="S299" s="8" t="str">
        <f t="shared" si="12"/>
        <v>Normal</v>
      </c>
      <c r="T299" s="8" t="str">
        <f t="shared" si="13"/>
        <v>Medium</v>
      </c>
      <c r="U299" s="8" t="str">
        <f t="shared" si="14"/>
        <v>Evening</v>
      </c>
      <c r="V299" s="8"/>
      <c r="W299" s="8"/>
    </row>
    <row r="300" spans="1:23" ht="15.75" thickBot="1" x14ac:dyDescent="0.3">
      <c r="A300" s="5">
        <v>299</v>
      </c>
      <c r="B300" s="6">
        <v>40556</v>
      </c>
      <c r="C300" s="5">
        <v>1</v>
      </c>
      <c r="D300" s="5">
        <v>0</v>
      </c>
      <c r="E300" s="5">
        <v>1</v>
      </c>
      <c r="F300" s="5">
        <v>21</v>
      </c>
      <c r="G300" s="7" t="b">
        <v>0</v>
      </c>
      <c r="H300" s="5">
        <v>4</v>
      </c>
      <c r="I300" s="5">
        <v>1</v>
      </c>
      <c r="J300" s="5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  <c r="Q300" t="s">
        <v>51</v>
      </c>
      <c r="R300" t="s">
        <v>22</v>
      </c>
      <c r="S300" s="8" t="str">
        <f t="shared" si="12"/>
        <v>Normal</v>
      </c>
      <c r="T300" s="8" t="str">
        <f t="shared" si="13"/>
        <v>Low</v>
      </c>
      <c r="U300" s="8" t="str">
        <f t="shared" si="14"/>
        <v>Evening</v>
      </c>
      <c r="V300" s="8"/>
      <c r="W300" s="8"/>
    </row>
    <row r="301" spans="1:23" ht="15.75" thickBot="1" x14ac:dyDescent="0.3">
      <c r="A301" s="5">
        <v>300</v>
      </c>
      <c r="B301" s="6">
        <v>40556</v>
      </c>
      <c r="C301" s="5">
        <v>1</v>
      </c>
      <c r="D301" s="5">
        <v>0</v>
      </c>
      <c r="E301" s="5">
        <v>1</v>
      </c>
      <c r="F301" s="5">
        <v>22</v>
      </c>
      <c r="G301" s="7" t="b">
        <v>0</v>
      </c>
      <c r="H301" s="5">
        <v>4</v>
      </c>
      <c r="I301" s="5">
        <v>1</v>
      </c>
      <c r="J301" s="5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  <c r="Q301" t="s">
        <v>51</v>
      </c>
      <c r="R301" t="s">
        <v>22</v>
      </c>
      <c r="S301" s="8" t="str">
        <f t="shared" si="12"/>
        <v>Normal</v>
      </c>
      <c r="T301" s="8" t="str">
        <f t="shared" si="13"/>
        <v>Low</v>
      </c>
      <c r="U301" s="8" t="str">
        <f t="shared" si="14"/>
        <v>Evening</v>
      </c>
      <c r="V301" s="8"/>
      <c r="W301" s="8"/>
    </row>
    <row r="302" spans="1:23" ht="15.75" thickBot="1" x14ac:dyDescent="0.3">
      <c r="A302" s="5">
        <v>301</v>
      </c>
      <c r="B302" s="6">
        <v>40556</v>
      </c>
      <c r="C302" s="5">
        <v>1</v>
      </c>
      <c r="D302" s="5">
        <v>0</v>
      </c>
      <c r="E302" s="5">
        <v>1</v>
      </c>
      <c r="F302" s="5">
        <v>23</v>
      </c>
      <c r="G302" s="7" t="b">
        <v>0</v>
      </c>
      <c r="H302" s="5">
        <v>4</v>
      </c>
      <c r="I302" s="5">
        <v>1</v>
      </c>
      <c r="J302" s="5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  <c r="Q302" t="s">
        <v>51</v>
      </c>
      <c r="R302" t="s">
        <v>22</v>
      </c>
      <c r="S302" s="8" t="str">
        <f t="shared" si="12"/>
        <v>Normal</v>
      </c>
      <c r="T302" s="8" t="str">
        <f t="shared" si="13"/>
        <v>Low</v>
      </c>
      <c r="U302" s="8" t="str">
        <f t="shared" si="14"/>
        <v>Evening</v>
      </c>
      <c r="V302" s="8"/>
      <c r="W302" s="8"/>
    </row>
    <row r="303" spans="1:23" ht="15.75" thickBot="1" x14ac:dyDescent="0.3">
      <c r="A303" s="5">
        <v>302</v>
      </c>
      <c r="B303" s="6">
        <v>40557</v>
      </c>
      <c r="C303" s="5">
        <v>1</v>
      </c>
      <c r="D303" s="5">
        <v>0</v>
      </c>
      <c r="E303" s="5">
        <v>1</v>
      </c>
      <c r="F303" s="5">
        <v>0</v>
      </c>
      <c r="G303" s="7" t="b">
        <v>0</v>
      </c>
      <c r="H303" s="5">
        <v>5</v>
      </c>
      <c r="I303" s="5">
        <v>1</v>
      </c>
      <c r="J303" s="5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  <c r="Q303" t="s">
        <v>52</v>
      </c>
      <c r="R303" t="s">
        <v>22</v>
      </c>
      <c r="S303" s="8" t="str">
        <f t="shared" si="12"/>
        <v>Normal</v>
      </c>
      <c r="T303" s="8" t="str">
        <f t="shared" si="13"/>
        <v>Low</v>
      </c>
      <c r="U303" s="8" t="str">
        <f t="shared" si="14"/>
        <v>Night</v>
      </c>
      <c r="V303" s="8"/>
      <c r="W303" s="8"/>
    </row>
    <row r="304" spans="1:23" ht="15.75" thickBot="1" x14ac:dyDescent="0.3">
      <c r="A304" s="5">
        <v>303</v>
      </c>
      <c r="B304" s="6">
        <v>40557</v>
      </c>
      <c r="C304" s="5">
        <v>1</v>
      </c>
      <c r="D304" s="5">
        <v>0</v>
      </c>
      <c r="E304" s="5">
        <v>1</v>
      </c>
      <c r="F304" s="5">
        <v>1</v>
      </c>
      <c r="G304" s="7" t="b">
        <v>0</v>
      </c>
      <c r="H304" s="5">
        <v>5</v>
      </c>
      <c r="I304" s="5">
        <v>1</v>
      </c>
      <c r="J304" s="5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  <c r="Q304" t="s">
        <v>52</v>
      </c>
      <c r="R304" t="s">
        <v>22</v>
      </c>
      <c r="S304" s="8" t="str">
        <f t="shared" si="12"/>
        <v>Normal</v>
      </c>
      <c r="T304" s="8" t="str">
        <f t="shared" si="13"/>
        <v>Low</v>
      </c>
      <c r="U304" s="8" t="str">
        <f t="shared" si="14"/>
        <v>Night</v>
      </c>
      <c r="V304" s="8"/>
      <c r="W304" s="8"/>
    </row>
    <row r="305" spans="1:23" ht="15.75" thickBot="1" x14ac:dyDescent="0.3">
      <c r="A305" s="5">
        <v>304</v>
      </c>
      <c r="B305" s="6">
        <v>40557</v>
      </c>
      <c r="C305" s="5">
        <v>1</v>
      </c>
      <c r="D305" s="5">
        <v>0</v>
      </c>
      <c r="E305" s="5">
        <v>1</v>
      </c>
      <c r="F305" s="5">
        <v>2</v>
      </c>
      <c r="G305" s="7" t="b">
        <v>0</v>
      </c>
      <c r="H305" s="5">
        <v>5</v>
      </c>
      <c r="I305" s="5">
        <v>1</v>
      </c>
      <c r="J305" s="5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  <c r="Q305" t="s">
        <v>52</v>
      </c>
      <c r="R305" t="s">
        <v>22</v>
      </c>
      <c r="S305" s="8" t="str">
        <f t="shared" si="12"/>
        <v>Normal</v>
      </c>
      <c r="T305" s="8" t="str">
        <f t="shared" si="13"/>
        <v>Low</v>
      </c>
      <c r="U305" s="8" t="str">
        <f t="shared" si="14"/>
        <v>Night</v>
      </c>
      <c r="V305" s="8"/>
      <c r="W305" s="8"/>
    </row>
    <row r="306" spans="1:23" ht="15.75" thickBot="1" x14ac:dyDescent="0.3">
      <c r="A306" s="5">
        <v>305</v>
      </c>
      <c r="B306" s="6">
        <v>40557</v>
      </c>
      <c r="C306" s="5">
        <v>1</v>
      </c>
      <c r="D306" s="5">
        <v>0</v>
      </c>
      <c r="E306" s="5">
        <v>1</v>
      </c>
      <c r="F306" s="5">
        <v>3</v>
      </c>
      <c r="G306" s="7" t="b">
        <v>0</v>
      </c>
      <c r="H306" s="5">
        <v>5</v>
      </c>
      <c r="I306" s="5">
        <v>1</v>
      </c>
      <c r="J306" s="5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  <c r="Q306" t="s">
        <v>52</v>
      </c>
      <c r="R306" t="s">
        <v>22</v>
      </c>
      <c r="S306" s="8" t="str">
        <f t="shared" si="12"/>
        <v>Normal</v>
      </c>
      <c r="T306" s="8" t="str">
        <f t="shared" si="13"/>
        <v>Low</v>
      </c>
      <c r="U306" s="8" t="str">
        <f t="shared" si="14"/>
        <v>Night</v>
      </c>
      <c r="V306" s="8"/>
      <c r="W306" s="8"/>
    </row>
    <row r="307" spans="1:23" ht="15.75" thickBot="1" x14ac:dyDescent="0.3">
      <c r="A307" s="5">
        <v>306</v>
      </c>
      <c r="B307" s="6">
        <v>40557</v>
      </c>
      <c r="C307" s="5">
        <v>1</v>
      </c>
      <c r="D307" s="5">
        <v>0</v>
      </c>
      <c r="E307" s="5">
        <v>1</v>
      </c>
      <c r="F307" s="5">
        <v>5</v>
      </c>
      <c r="G307" s="7" t="b">
        <v>0</v>
      </c>
      <c r="H307" s="5">
        <v>5</v>
      </c>
      <c r="I307" s="5">
        <v>1</v>
      </c>
      <c r="J307" s="5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  <c r="Q307" t="s">
        <v>52</v>
      </c>
      <c r="R307" t="s">
        <v>22</v>
      </c>
      <c r="S307" s="8" t="str">
        <f t="shared" si="12"/>
        <v>Normal</v>
      </c>
      <c r="T307" s="8" t="str">
        <f t="shared" si="13"/>
        <v>Low</v>
      </c>
      <c r="U307" s="8" t="str">
        <f t="shared" si="14"/>
        <v>Night</v>
      </c>
      <c r="V307" s="8"/>
      <c r="W307" s="8"/>
    </row>
    <row r="308" spans="1:23" ht="15.75" thickBot="1" x14ac:dyDescent="0.3">
      <c r="A308" s="5">
        <v>307</v>
      </c>
      <c r="B308" s="6">
        <v>40557</v>
      </c>
      <c r="C308" s="5">
        <v>1</v>
      </c>
      <c r="D308" s="5">
        <v>0</v>
      </c>
      <c r="E308" s="5">
        <v>1</v>
      </c>
      <c r="F308" s="5">
        <v>6</v>
      </c>
      <c r="G308" s="7" t="b">
        <v>0</v>
      </c>
      <c r="H308" s="5">
        <v>5</v>
      </c>
      <c r="I308" s="5">
        <v>1</v>
      </c>
      <c r="J308" s="5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  <c r="Q308" t="s">
        <v>52</v>
      </c>
      <c r="R308" t="s">
        <v>22</v>
      </c>
      <c r="S308" s="8" t="str">
        <f t="shared" si="12"/>
        <v>Normal</v>
      </c>
      <c r="T308" s="8" t="str">
        <f t="shared" si="13"/>
        <v>Low</v>
      </c>
      <c r="U308" s="8" t="str">
        <f t="shared" si="14"/>
        <v>Morning</v>
      </c>
      <c r="V308" s="8"/>
      <c r="W308" s="8"/>
    </row>
    <row r="309" spans="1:23" ht="15.75" thickBot="1" x14ac:dyDescent="0.3">
      <c r="A309" s="5">
        <v>308</v>
      </c>
      <c r="B309" s="6">
        <v>40557</v>
      </c>
      <c r="C309" s="5">
        <v>1</v>
      </c>
      <c r="D309" s="5">
        <v>0</v>
      </c>
      <c r="E309" s="5">
        <v>1</v>
      </c>
      <c r="F309" s="5">
        <v>7</v>
      </c>
      <c r="G309" s="7" t="b">
        <v>0</v>
      </c>
      <c r="H309" s="5">
        <v>5</v>
      </c>
      <c r="I309" s="5">
        <v>1</v>
      </c>
      <c r="J309" s="5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  <c r="Q309" t="s">
        <v>52</v>
      </c>
      <c r="R309" t="s">
        <v>22</v>
      </c>
      <c r="S309" s="8" t="str">
        <f t="shared" si="12"/>
        <v>Rush Hour</v>
      </c>
      <c r="T309" s="8" t="str">
        <f t="shared" si="13"/>
        <v>Medium</v>
      </c>
      <c r="U309" s="8" t="str">
        <f t="shared" si="14"/>
        <v>Morning</v>
      </c>
      <c r="V309" s="8"/>
      <c r="W309" s="8"/>
    </row>
    <row r="310" spans="1:23" ht="15.75" thickBot="1" x14ac:dyDescent="0.3">
      <c r="A310" s="5">
        <v>309</v>
      </c>
      <c r="B310" s="6">
        <v>40557</v>
      </c>
      <c r="C310" s="5">
        <v>1</v>
      </c>
      <c r="D310" s="5">
        <v>0</v>
      </c>
      <c r="E310" s="5">
        <v>1</v>
      </c>
      <c r="F310" s="5">
        <v>8</v>
      </c>
      <c r="G310" s="7" t="b">
        <v>0</v>
      </c>
      <c r="H310" s="5">
        <v>5</v>
      </c>
      <c r="I310" s="5">
        <v>1</v>
      </c>
      <c r="J310" s="5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  <c r="Q310" t="s">
        <v>52</v>
      </c>
      <c r="R310" t="s">
        <v>22</v>
      </c>
      <c r="S310" s="8" t="str">
        <f t="shared" si="12"/>
        <v>Rush Hour</v>
      </c>
      <c r="T310" s="8" t="str">
        <f t="shared" si="13"/>
        <v>High</v>
      </c>
      <c r="U310" s="8" t="str">
        <f t="shared" si="14"/>
        <v>Morning</v>
      </c>
      <c r="V310" s="8"/>
      <c r="W310" s="8"/>
    </row>
    <row r="311" spans="1:23" ht="15.75" thickBot="1" x14ac:dyDescent="0.3">
      <c r="A311" s="5">
        <v>310</v>
      </c>
      <c r="B311" s="6">
        <v>40557</v>
      </c>
      <c r="C311" s="5">
        <v>1</v>
      </c>
      <c r="D311" s="5">
        <v>0</v>
      </c>
      <c r="E311" s="5">
        <v>1</v>
      </c>
      <c r="F311" s="5">
        <v>9</v>
      </c>
      <c r="G311" s="7" t="b">
        <v>0</v>
      </c>
      <c r="H311" s="5">
        <v>5</v>
      </c>
      <c r="I311" s="5">
        <v>1</v>
      </c>
      <c r="J311" s="5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  <c r="Q311" t="s">
        <v>52</v>
      </c>
      <c r="R311" t="s">
        <v>22</v>
      </c>
      <c r="S311" s="8" t="str">
        <f t="shared" si="12"/>
        <v>Rush Hour</v>
      </c>
      <c r="T311" s="8" t="str">
        <f t="shared" si="13"/>
        <v>Medium</v>
      </c>
      <c r="U311" s="8" t="str">
        <f t="shared" si="14"/>
        <v>Morning</v>
      </c>
      <c r="V311" s="8"/>
      <c r="W311" s="8"/>
    </row>
    <row r="312" spans="1:23" ht="15.75" thickBot="1" x14ac:dyDescent="0.3">
      <c r="A312" s="5">
        <v>311</v>
      </c>
      <c r="B312" s="6">
        <v>40557</v>
      </c>
      <c r="C312" s="5">
        <v>1</v>
      </c>
      <c r="D312" s="5">
        <v>0</v>
      </c>
      <c r="E312" s="5">
        <v>1</v>
      </c>
      <c r="F312" s="5">
        <v>10</v>
      </c>
      <c r="G312" s="7" t="b">
        <v>0</v>
      </c>
      <c r="H312" s="5">
        <v>5</v>
      </c>
      <c r="I312" s="5">
        <v>1</v>
      </c>
      <c r="J312" s="5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  <c r="Q312" t="s">
        <v>52</v>
      </c>
      <c r="R312" t="s">
        <v>22</v>
      </c>
      <c r="S312" s="8" t="str">
        <f t="shared" si="12"/>
        <v>Normal</v>
      </c>
      <c r="T312" s="8" t="str">
        <f t="shared" si="13"/>
        <v>Low</v>
      </c>
      <c r="U312" s="8" t="str">
        <f t="shared" si="14"/>
        <v>Morning</v>
      </c>
      <c r="V312" s="8"/>
      <c r="W312" s="8"/>
    </row>
    <row r="313" spans="1:23" ht="15.75" thickBot="1" x14ac:dyDescent="0.3">
      <c r="A313" s="5">
        <v>312</v>
      </c>
      <c r="B313" s="6">
        <v>40557</v>
      </c>
      <c r="C313" s="5">
        <v>1</v>
      </c>
      <c r="D313" s="5">
        <v>0</v>
      </c>
      <c r="E313" s="5">
        <v>1</v>
      </c>
      <c r="F313" s="5">
        <v>11</v>
      </c>
      <c r="G313" s="7" t="b">
        <v>0</v>
      </c>
      <c r="H313" s="5">
        <v>5</v>
      </c>
      <c r="I313" s="5">
        <v>1</v>
      </c>
      <c r="J313" s="5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  <c r="Q313" t="s">
        <v>52</v>
      </c>
      <c r="R313" t="s">
        <v>22</v>
      </c>
      <c r="S313" s="8" t="str">
        <f t="shared" si="12"/>
        <v>Normal</v>
      </c>
      <c r="T313" s="8" t="str">
        <f t="shared" si="13"/>
        <v>Medium</v>
      </c>
      <c r="U313" s="8" t="str">
        <f t="shared" si="14"/>
        <v>Morning</v>
      </c>
      <c r="V313" s="8"/>
      <c r="W313" s="8"/>
    </row>
    <row r="314" spans="1:23" ht="15.75" thickBot="1" x14ac:dyDescent="0.3">
      <c r="A314" s="5">
        <v>313</v>
      </c>
      <c r="B314" s="6">
        <v>40557</v>
      </c>
      <c r="C314" s="5">
        <v>1</v>
      </c>
      <c r="D314" s="5">
        <v>0</v>
      </c>
      <c r="E314" s="5">
        <v>1</v>
      </c>
      <c r="F314" s="5">
        <v>12</v>
      </c>
      <c r="G314" s="7" t="b">
        <v>0</v>
      </c>
      <c r="H314" s="5">
        <v>5</v>
      </c>
      <c r="I314" s="5">
        <v>1</v>
      </c>
      <c r="J314" s="5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  <c r="Q314" t="s">
        <v>52</v>
      </c>
      <c r="R314" t="s">
        <v>22</v>
      </c>
      <c r="S314" s="8" t="str">
        <f t="shared" si="12"/>
        <v>Normal</v>
      </c>
      <c r="T314" s="8" t="str">
        <f t="shared" si="13"/>
        <v>Medium</v>
      </c>
      <c r="U314" s="8" t="str">
        <f t="shared" si="14"/>
        <v>Afternoon</v>
      </c>
      <c r="V314" s="8"/>
      <c r="W314" s="8"/>
    </row>
    <row r="315" spans="1:23" ht="15.75" thickBot="1" x14ac:dyDescent="0.3">
      <c r="A315" s="5">
        <v>314</v>
      </c>
      <c r="B315" s="6">
        <v>40557</v>
      </c>
      <c r="C315" s="5">
        <v>1</v>
      </c>
      <c r="D315" s="5">
        <v>0</v>
      </c>
      <c r="E315" s="5">
        <v>1</v>
      </c>
      <c r="F315" s="5">
        <v>13</v>
      </c>
      <c r="G315" s="7" t="b">
        <v>0</v>
      </c>
      <c r="H315" s="5">
        <v>5</v>
      </c>
      <c r="I315" s="5">
        <v>1</v>
      </c>
      <c r="J315" s="5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  <c r="Q315" t="s">
        <v>52</v>
      </c>
      <c r="R315" t="s">
        <v>22</v>
      </c>
      <c r="S315" s="8" t="str">
        <f t="shared" si="12"/>
        <v>Normal</v>
      </c>
      <c r="T315" s="8" t="str">
        <f t="shared" si="13"/>
        <v>Medium</v>
      </c>
      <c r="U315" s="8" t="str">
        <f t="shared" si="14"/>
        <v>Afternoon</v>
      </c>
      <c r="V315" s="8"/>
      <c r="W315" s="8"/>
    </row>
    <row r="316" spans="1:23" ht="15.75" thickBot="1" x14ac:dyDescent="0.3">
      <c r="A316" s="5">
        <v>315</v>
      </c>
      <c r="B316" s="6">
        <v>40557</v>
      </c>
      <c r="C316" s="5">
        <v>1</v>
      </c>
      <c r="D316" s="5">
        <v>0</v>
      </c>
      <c r="E316" s="5">
        <v>1</v>
      </c>
      <c r="F316" s="5">
        <v>14</v>
      </c>
      <c r="G316" s="7" t="b">
        <v>0</v>
      </c>
      <c r="H316" s="5">
        <v>5</v>
      </c>
      <c r="I316" s="5">
        <v>1</v>
      </c>
      <c r="J316" s="5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  <c r="Q316" t="s">
        <v>52</v>
      </c>
      <c r="R316" t="s">
        <v>22</v>
      </c>
      <c r="S316" s="8" t="str">
        <f t="shared" si="12"/>
        <v>Normal</v>
      </c>
      <c r="T316" s="8" t="str">
        <f t="shared" si="13"/>
        <v>Medium</v>
      </c>
      <c r="U316" s="8" t="str">
        <f t="shared" si="14"/>
        <v>Afternoon</v>
      </c>
      <c r="V316" s="8"/>
      <c r="W316" s="8"/>
    </row>
    <row r="317" spans="1:23" ht="15.75" thickBot="1" x14ac:dyDescent="0.3">
      <c r="A317" s="5">
        <v>316</v>
      </c>
      <c r="B317" s="6">
        <v>40557</v>
      </c>
      <c r="C317" s="5">
        <v>1</v>
      </c>
      <c r="D317" s="5">
        <v>0</v>
      </c>
      <c r="E317" s="5">
        <v>1</v>
      </c>
      <c r="F317" s="5">
        <v>15</v>
      </c>
      <c r="G317" s="7" t="b">
        <v>0</v>
      </c>
      <c r="H317" s="5">
        <v>5</v>
      </c>
      <c r="I317" s="5">
        <v>1</v>
      </c>
      <c r="J317" s="5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  <c r="Q317" t="s">
        <v>52</v>
      </c>
      <c r="R317" t="s">
        <v>22</v>
      </c>
      <c r="S317" s="8" t="str">
        <f t="shared" si="12"/>
        <v>Normal</v>
      </c>
      <c r="T317" s="8" t="str">
        <f t="shared" si="13"/>
        <v>Medium</v>
      </c>
      <c r="U317" s="8" t="str">
        <f t="shared" si="14"/>
        <v>Afternoon</v>
      </c>
      <c r="V317" s="8"/>
      <c r="W317" s="8"/>
    </row>
    <row r="318" spans="1:23" ht="15.75" thickBot="1" x14ac:dyDescent="0.3">
      <c r="A318" s="5">
        <v>317</v>
      </c>
      <c r="B318" s="6">
        <v>40557</v>
      </c>
      <c r="C318" s="5">
        <v>1</v>
      </c>
      <c r="D318" s="5">
        <v>0</v>
      </c>
      <c r="E318" s="5">
        <v>1</v>
      </c>
      <c r="F318" s="5">
        <v>16</v>
      </c>
      <c r="G318" s="7" t="b">
        <v>0</v>
      </c>
      <c r="H318" s="5">
        <v>5</v>
      </c>
      <c r="I318" s="5">
        <v>1</v>
      </c>
      <c r="J318" s="5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  <c r="Q318" t="s">
        <v>52</v>
      </c>
      <c r="R318" t="s">
        <v>22</v>
      </c>
      <c r="S318" s="8" t="str">
        <f t="shared" si="12"/>
        <v>Normal</v>
      </c>
      <c r="T318" s="8" t="str">
        <f t="shared" si="13"/>
        <v>Medium</v>
      </c>
      <c r="U318" s="8" t="str">
        <f t="shared" si="14"/>
        <v>Afternoon</v>
      </c>
      <c r="V318" s="8"/>
      <c r="W318" s="8"/>
    </row>
    <row r="319" spans="1:23" ht="15.75" thickBot="1" x14ac:dyDescent="0.3">
      <c r="A319" s="5">
        <v>318</v>
      </c>
      <c r="B319" s="6">
        <v>40557</v>
      </c>
      <c r="C319" s="5">
        <v>1</v>
      </c>
      <c r="D319" s="5">
        <v>0</v>
      </c>
      <c r="E319" s="5">
        <v>1</v>
      </c>
      <c r="F319" s="5">
        <v>17</v>
      </c>
      <c r="G319" s="7" t="b">
        <v>0</v>
      </c>
      <c r="H319" s="5">
        <v>5</v>
      </c>
      <c r="I319" s="5">
        <v>1</v>
      </c>
      <c r="J319" s="5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  <c r="Q319" t="s">
        <v>52</v>
      </c>
      <c r="R319" t="s">
        <v>22</v>
      </c>
      <c r="S319" s="8" t="str">
        <f t="shared" si="12"/>
        <v>Rush Hour</v>
      </c>
      <c r="T319" s="8" t="str">
        <f t="shared" si="13"/>
        <v>High</v>
      </c>
      <c r="U319" s="8" t="str">
        <f t="shared" si="14"/>
        <v>Afternoon</v>
      </c>
      <c r="V319" s="8"/>
      <c r="W319" s="8"/>
    </row>
    <row r="320" spans="1:23" ht="15.75" thickBot="1" x14ac:dyDescent="0.3">
      <c r="A320" s="5">
        <v>319</v>
      </c>
      <c r="B320" s="6">
        <v>40557</v>
      </c>
      <c r="C320" s="5">
        <v>1</v>
      </c>
      <c r="D320" s="5">
        <v>0</v>
      </c>
      <c r="E320" s="5">
        <v>1</v>
      </c>
      <c r="F320" s="5">
        <v>18</v>
      </c>
      <c r="G320" s="7" t="b">
        <v>0</v>
      </c>
      <c r="H320" s="5">
        <v>5</v>
      </c>
      <c r="I320" s="5">
        <v>1</v>
      </c>
      <c r="J320" s="5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  <c r="Q320" t="s">
        <v>52</v>
      </c>
      <c r="R320" t="s">
        <v>22</v>
      </c>
      <c r="S320" s="8" t="str">
        <f t="shared" si="12"/>
        <v>Rush Hour</v>
      </c>
      <c r="T320" s="8" t="str">
        <f t="shared" si="13"/>
        <v>Medium</v>
      </c>
      <c r="U320" s="8" t="str">
        <f t="shared" si="14"/>
        <v>Evening</v>
      </c>
      <c r="V320" s="8"/>
      <c r="W320" s="8"/>
    </row>
    <row r="321" spans="1:23" ht="15.75" thickBot="1" x14ac:dyDescent="0.3">
      <c r="A321" s="5">
        <v>320</v>
      </c>
      <c r="B321" s="6">
        <v>40557</v>
      </c>
      <c r="C321" s="5">
        <v>1</v>
      </c>
      <c r="D321" s="5">
        <v>0</v>
      </c>
      <c r="E321" s="5">
        <v>1</v>
      </c>
      <c r="F321" s="5">
        <v>19</v>
      </c>
      <c r="G321" s="7" t="b">
        <v>0</v>
      </c>
      <c r="H321" s="5">
        <v>5</v>
      </c>
      <c r="I321" s="5">
        <v>1</v>
      </c>
      <c r="J321" s="5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  <c r="Q321" t="s">
        <v>52</v>
      </c>
      <c r="R321" t="s">
        <v>22</v>
      </c>
      <c r="S321" s="8" t="str">
        <f t="shared" si="12"/>
        <v>Rush Hour</v>
      </c>
      <c r="T321" s="8" t="str">
        <f t="shared" si="13"/>
        <v>Medium</v>
      </c>
      <c r="U321" s="8" t="str">
        <f t="shared" si="14"/>
        <v>Evening</v>
      </c>
      <c r="V321" s="8"/>
      <c r="W321" s="8"/>
    </row>
    <row r="322" spans="1:23" ht="15.75" thickBot="1" x14ac:dyDescent="0.3">
      <c r="A322" s="5">
        <v>321</v>
      </c>
      <c r="B322" s="6">
        <v>40557</v>
      </c>
      <c r="C322" s="5">
        <v>1</v>
      </c>
      <c r="D322" s="5">
        <v>0</v>
      </c>
      <c r="E322" s="5">
        <v>1</v>
      </c>
      <c r="F322" s="5">
        <v>20</v>
      </c>
      <c r="G322" s="7" t="b">
        <v>0</v>
      </c>
      <c r="H322" s="5">
        <v>5</v>
      </c>
      <c r="I322" s="5">
        <v>1</v>
      </c>
      <c r="J322" s="5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  <c r="Q322" t="s">
        <v>52</v>
      </c>
      <c r="R322" t="s">
        <v>22</v>
      </c>
      <c r="S322" s="8" t="str">
        <f t="shared" si="12"/>
        <v>Normal</v>
      </c>
      <c r="T322" s="8" t="str">
        <f t="shared" si="13"/>
        <v>Medium</v>
      </c>
      <c r="U322" s="8" t="str">
        <f t="shared" si="14"/>
        <v>Evening</v>
      </c>
      <c r="V322" s="8"/>
      <c r="W322" s="8"/>
    </row>
    <row r="323" spans="1:23" ht="15.75" thickBot="1" x14ac:dyDescent="0.3">
      <c r="A323" s="5">
        <v>322</v>
      </c>
      <c r="B323" s="6">
        <v>40557</v>
      </c>
      <c r="C323" s="5">
        <v>1</v>
      </c>
      <c r="D323" s="5">
        <v>0</v>
      </c>
      <c r="E323" s="5">
        <v>1</v>
      </c>
      <c r="F323" s="5">
        <v>21</v>
      </c>
      <c r="G323" s="7" t="b">
        <v>0</v>
      </c>
      <c r="H323" s="5">
        <v>5</v>
      </c>
      <c r="I323" s="5">
        <v>1</v>
      </c>
      <c r="J323" s="5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  <c r="Q323" t="s">
        <v>52</v>
      </c>
      <c r="R323" t="s">
        <v>22</v>
      </c>
      <c r="S323" s="8" t="str">
        <f t="shared" ref="S323:S386" si="15">IF(OR(AND(F323&gt;=7,F323&lt;=9),AND(F323&gt;=17,F323&lt;=19)),"Rush Hour","Normal")</f>
        <v>Normal</v>
      </c>
      <c r="T323" s="8" t="str">
        <f t="shared" ref="T323:T386" si="16">IF(P323&gt;150,"High",IF(P323&gt;50,"Medium","Low"))</f>
        <v>Medium</v>
      </c>
      <c r="U323" s="8" t="str">
        <f t="shared" ref="U323:U386" si="17">IF(F323&lt;6,"Night", IF(F323&lt;12,"Morning", IF(F323&lt;18,"Afternoon","Evening")))</f>
        <v>Evening</v>
      </c>
      <c r="V323" s="8"/>
      <c r="W323" s="8"/>
    </row>
    <row r="324" spans="1:23" ht="15.75" thickBot="1" x14ac:dyDescent="0.3">
      <c r="A324" s="5">
        <v>323</v>
      </c>
      <c r="B324" s="6">
        <v>40557</v>
      </c>
      <c r="C324" s="5">
        <v>1</v>
      </c>
      <c r="D324" s="5">
        <v>0</v>
      </c>
      <c r="E324" s="5">
        <v>1</v>
      </c>
      <c r="F324" s="5">
        <v>22</v>
      </c>
      <c r="G324" s="7" t="b">
        <v>0</v>
      </c>
      <c r="H324" s="5">
        <v>5</v>
      </c>
      <c r="I324" s="5">
        <v>2</v>
      </c>
      <c r="J324" s="5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  <c r="Q324" t="s">
        <v>52</v>
      </c>
      <c r="R324" t="s">
        <v>26</v>
      </c>
      <c r="S324" s="8" t="str">
        <f t="shared" si="15"/>
        <v>Normal</v>
      </c>
      <c r="T324" s="8" t="str">
        <f t="shared" si="16"/>
        <v>Low</v>
      </c>
      <c r="U324" s="8" t="str">
        <f t="shared" si="17"/>
        <v>Evening</v>
      </c>
      <c r="V324" s="8"/>
      <c r="W324" s="8"/>
    </row>
    <row r="325" spans="1:23" ht="15.75" thickBot="1" x14ac:dyDescent="0.3">
      <c r="A325" s="5">
        <v>324</v>
      </c>
      <c r="B325" s="6">
        <v>40557</v>
      </c>
      <c r="C325" s="5">
        <v>1</v>
      </c>
      <c r="D325" s="5">
        <v>0</v>
      </c>
      <c r="E325" s="5">
        <v>1</v>
      </c>
      <c r="F325" s="5">
        <v>23</v>
      </c>
      <c r="G325" s="7" t="b">
        <v>0</v>
      </c>
      <c r="H325" s="5">
        <v>5</v>
      </c>
      <c r="I325" s="5">
        <v>2</v>
      </c>
      <c r="J325" s="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  <c r="Q325" t="s">
        <v>52</v>
      </c>
      <c r="R325" t="s">
        <v>26</v>
      </c>
      <c r="S325" s="8" t="str">
        <f t="shared" si="15"/>
        <v>Normal</v>
      </c>
      <c r="T325" s="8" t="str">
        <f t="shared" si="16"/>
        <v>Low</v>
      </c>
      <c r="U325" s="8" t="str">
        <f t="shared" si="17"/>
        <v>Evening</v>
      </c>
      <c r="V325" s="8"/>
      <c r="W325" s="8"/>
    </row>
    <row r="326" spans="1:23" ht="15.75" thickBot="1" x14ac:dyDescent="0.3">
      <c r="A326" s="5">
        <v>325</v>
      </c>
      <c r="B326" s="6">
        <v>40558</v>
      </c>
      <c r="C326" s="5">
        <v>1</v>
      </c>
      <c r="D326" s="5">
        <v>0</v>
      </c>
      <c r="E326" s="5">
        <v>1</v>
      </c>
      <c r="F326" s="5">
        <v>0</v>
      </c>
      <c r="G326" s="7" t="b">
        <v>0</v>
      </c>
      <c r="H326" s="5">
        <v>6</v>
      </c>
      <c r="I326" s="5">
        <v>1</v>
      </c>
      <c r="J326" s="5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  <c r="Q326" t="s">
        <v>21</v>
      </c>
      <c r="R326" t="s">
        <v>22</v>
      </c>
      <c r="S326" s="8" t="str">
        <f t="shared" si="15"/>
        <v>Normal</v>
      </c>
      <c r="T326" s="8" t="str">
        <f t="shared" si="16"/>
        <v>Low</v>
      </c>
      <c r="U326" s="8" t="str">
        <f t="shared" si="17"/>
        <v>Night</v>
      </c>
      <c r="V326" s="8"/>
      <c r="W326" s="8"/>
    </row>
    <row r="327" spans="1:23" ht="15.75" thickBot="1" x14ac:dyDescent="0.3">
      <c r="A327" s="5">
        <v>326</v>
      </c>
      <c r="B327" s="6">
        <v>40558</v>
      </c>
      <c r="C327" s="5">
        <v>1</v>
      </c>
      <c r="D327" s="5">
        <v>0</v>
      </c>
      <c r="E327" s="5">
        <v>1</v>
      </c>
      <c r="F327" s="5">
        <v>1</v>
      </c>
      <c r="G327" s="7" t="b">
        <v>0</v>
      </c>
      <c r="H327" s="5">
        <v>6</v>
      </c>
      <c r="I327" s="5">
        <v>2</v>
      </c>
      <c r="J327" s="5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  <c r="Q327" t="s">
        <v>21</v>
      </c>
      <c r="R327" t="s">
        <v>26</v>
      </c>
      <c r="S327" s="8" t="str">
        <f t="shared" si="15"/>
        <v>Normal</v>
      </c>
      <c r="T327" s="8" t="str">
        <f t="shared" si="16"/>
        <v>Low</v>
      </c>
      <c r="U327" s="8" t="str">
        <f t="shared" si="17"/>
        <v>Night</v>
      </c>
      <c r="V327" s="8"/>
      <c r="W327" s="8"/>
    </row>
    <row r="328" spans="1:23" ht="15.75" thickBot="1" x14ac:dyDescent="0.3">
      <c r="A328" s="5">
        <v>327</v>
      </c>
      <c r="B328" s="6">
        <v>40558</v>
      </c>
      <c r="C328" s="5">
        <v>1</v>
      </c>
      <c r="D328" s="5">
        <v>0</v>
      </c>
      <c r="E328" s="5">
        <v>1</v>
      </c>
      <c r="F328" s="5">
        <v>2</v>
      </c>
      <c r="G328" s="7" t="b">
        <v>0</v>
      </c>
      <c r="H328" s="5">
        <v>6</v>
      </c>
      <c r="I328" s="5">
        <v>2</v>
      </c>
      <c r="J328" s="5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  <c r="Q328" t="s">
        <v>21</v>
      </c>
      <c r="R328" t="s">
        <v>26</v>
      </c>
      <c r="S328" s="8" t="str">
        <f t="shared" si="15"/>
        <v>Normal</v>
      </c>
      <c r="T328" s="8" t="str">
        <f t="shared" si="16"/>
        <v>Low</v>
      </c>
      <c r="U328" s="8" t="str">
        <f t="shared" si="17"/>
        <v>Night</v>
      </c>
      <c r="V328" s="8"/>
      <c r="W328" s="8"/>
    </row>
    <row r="329" spans="1:23" ht="15.75" thickBot="1" x14ac:dyDescent="0.3">
      <c r="A329" s="5">
        <v>328</v>
      </c>
      <c r="B329" s="6">
        <v>40558</v>
      </c>
      <c r="C329" s="5">
        <v>1</v>
      </c>
      <c r="D329" s="5">
        <v>0</v>
      </c>
      <c r="E329" s="5">
        <v>1</v>
      </c>
      <c r="F329" s="5">
        <v>3</v>
      </c>
      <c r="G329" s="7" t="b">
        <v>0</v>
      </c>
      <c r="H329" s="5">
        <v>6</v>
      </c>
      <c r="I329" s="5">
        <v>2</v>
      </c>
      <c r="J329" s="5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  <c r="Q329" t="s">
        <v>21</v>
      </c>
      <c r="R329" t="s">
        <v>26</v>
      </c>
      <c r="S329" s="8" t="str">
        <f t="shared" si="15"/>
        <v>Normal</v>
      </c>
      <c r="T329" s="8" t="str">
        <f t="shared" si="16"/>
        <v>Low</v>
      </c>
      <c r="U329" s="8" t="str">
        <f t="shared" si="17"/>
        <v>Night</v>
      </c>
      <c r="V329" s="8"/>
      <c r="W329" s="8"/>
    </row>
    <row r="330" spans="1:23" ht="15.75" thickBot="1" x14ac:dyDescent="0.3">
      <c r="A330" s="5">
        <v>329</v>
      </c>
      <c r="B330" s="6">
        <v>40558</v>
      </c>
      <c r="C330" s="5">
        <v>1</v>
      </c>
      <c r="D330" s="5">
        <v>0</v>
      </c>
      <c r="E330" s="5">
        <v>1</v>
      </c>
      <c r="F330" s="5">
        <v>4</v>
      </c>
      <c r="G330" s="7" t="b">
        <v>0</v>
      </c>
      <c r="H330" s="5">
        <v>6</v>
      </c>
      <c r="I330" s="5">
        <v>2</v>
      </c>
      <c r="J330" s="5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  <c r="Q330" t="s">
        <v>21</v>
      </c>
      <c r="R330" t="s">
        <v>26</v>
      </c>
      <c r="S330" s="8" t="str">
        <f t="shared" si="15"/>
        <v>Normal</v>
      </c>
      <c r="T330" s="8" t="str">
        <f t="shared" si="16"/>
        <v>Low</v>
      </c>
      <c r="U330" s="8" t="str">
        <f t="shared" si="17"/>
        <v>Night</v>
      </c>
      <c r="V330" s="8"/>
      <c r="W330" s="8"/>
    </row>
    <row r="331" spans="1:23" ht="15.75" thickBot="1" x14ac:dyDescent="0.3">
      <c r="A331" s="5">
        <v>330</v>
      </c>
      <c r="B331" s="6">
        <v>40558</v>
      </c>
      <c r="C331" s="5">
        <v>1</v>
      </c>
      <c r="D331" s="5">
        <v>0</v>
      </c>
      <c r="E331" s="5">
        <v>1</v>
      </c>
      <c r="F331" s="5">
        <v>5</v>
      </c>
      <c r="G331" s="7" t="b">
        <v>0</v>
      </c>
      <c r="H331" s="5">
        <v>6</v>
      </c>
      <c r="I331" s="5">
        <v>1</v>
      </c>
      <c r="J331" s="5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  <c r="Q331" t="s">
        <v>21</v>
      </c>
      <c r="R331" t="s">
        <v>22</v>
      </c>
      <c r="S331" s="8" t="str">
        <f t="shared" si="15"/>
        <v>Normal</v>
      </c>
      <c r="T331" s="8" t="str">
        <f t="shared" si="16"/>
        <v>Low</v>
      </c>
      <c r="U331" s="8" t="str">
        <f t="shared" si="17"/>
        <v>Night</v>
      </c>
      <c r="V331" s="8"/>
      <c r="W331" s="8"/>
    </row>
    <row r="332" spans="1:23" ht="15.75" thickBot="1" x14ac:dyDescent="0.3">
      <c r="A332" s="5">
        <v>331</v>
      </c>
      <c r="B332" s="6">
        <v>40558</v>
      </c>
      <c r="C332" s="5">
        <v>1</v>
      </c>
      <c r="D332" s="5">
        <v>0</v>
      </c>
      <c r="E332" s="5">
        <v>1</v>
      </c>
      <c r="F332" s="5">
        <v>6</v>
      </c>
      <c r="G332" s="7" t="b">
        <v>0</v>
      </c>
      <c r="H332" s="5">
        <v>6</v>
      </c>
      <c r="I332" s="5">
        <v>1</v>
      </c>
      <c r="J332" s="5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  <c r="Q332" t="s">
        <v>21</v>
      </c>
      <c r="R332" t="s">
        <v>22</v>
      </c>
      <c r="S332" s="8" t="str">
        <f t="shared" si="15"/>
        <v>Normal</v>
      </c>
      <c r="T332" s="8" t="str">
        <f t="shared" si="16"/>
        <v>Low</v>
      </c>
      <c r="U332" s="8" t="str">
        <f t="shared" si="17"/>
        <v>Morning</v>
      </c>
      <c r="V332" s="8"/>
      <c r="W332" s="8"/>
    </row>
    <row r="333" spans="1:23" ht="15.75" thickBot="1" x14ac:dyDescent="0.3">
      <c r="A333" s="5">
        <v>332</v>
      </c>
      <c r="B333" s="6">
        <v>40558</v>
      </c>
      <c r="C333" s="5">
        <v>1</v>
      </c>
      <c r="D333" s="5">
        <v>0</v>
      </c>
      <c r="E333" s="5">
        <v>1</v>
      </c>
      <c r="F333" s="5">
        <v>7</v>
      </c>
      <c r="G333" s="7" t="b">
        <v>0</v>
      </c>
      <c r="H333" s="5">
        <v>6</v>
      </c>
      <c r="I333" s="5">
        <v>1</v>
      </c>
      <c r="J333" s="5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  <c r="Q333" t="s">
        <v>21</v>
      </c>
      <c r="R333" t="s">
        <v>22</v>
      </c>
      <c r="S333" s="8" t="str">
        <f t="shared" si="15"/>
        <v>Rush Hour</v>
      </c>
      <c r="T333" s="8" t="str">
        <f t="shared" si="16"/>
        <v>Low</v>
      </c>
      <c r="U333" s="8" t="str">
        <f t="shared" si="17"/>
        <v>Morning</v>
      </c>
      <c r="V333" s="8"/>
      <c r="W333" s="8"/>
    </row>
    <row r="334" spans="1:23" ht="15.75" thickBot="1" x14ac:dyDescent="0.3">
      <c r="A334" s="5">
        <v>333</v>
      </c>
      <c r="B334" s="6">
        <v>40558</v>
      </c>
      <c r="C334" s="5">
        <v>1</v>
      </c>
      <c r="D334" s="5">
        <v>0</v>
      </c>
      <c r="E334" s="5">
        <v>1</v>
      </c>
      <c r="F334" s="5">
        <v>8</v>
      </c>
      <c r="G334" s="7" t="b">
        <v>0</v>
      </c>
      <c r="H334" s="5">
        <v>6</v>
      </c>
      <c r="I334" s="5">
        <v>1</v>
      </c>
      <c r="J334" s="5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  <c r="Q334" t="s">
        <v>21</v>
      </c>
      <c r="R334" t="s">
        <v>22</v>
      </c>
      <c r="S334" s="8" t="str">
        <f t="shared" si="15"/>
        <v>Rush Hour</v>
      </c>
      <c r="T334" s="8" t="str">
        <f t="shared" si="16"/>
        <v>Low</v>
      </c>
      <c r="U334" s="8" t="str">
        <f t="shared" si="17"/>
        <v>Morning</v>
      </c>
      <c r="V334" s="8"/>
      <c r="W334" s="8"/>
    </row>
    <row r="335" spans="1:23" ht="15.75" thickBot="1" x14ac:dyDescent="0.3">
      <c r="A335" s="5">
        <v>334</v>
      </c>
      <c r="B335" s="6">
        <v>40558</v>
      </c>
      <c r="C335" s="5">
        <v>1</v>
      </c>
      <c r="D335" s="5">
        <v>0</v>
      </c>
      <c r="E335" s="5">
        <v>1</v>
      </c>
      <c r="F335" s="5">
        <v>9</v>
      </c>
      <c r="G335" s="7" t="b">
        <v>0</v>
      </c>
      <c r="H335" s="5">
        <v>6</v>
      </c>
      <c r="I335" s="5">
        <v>1</v>
      </c>
      <c r="J335" s="5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  <c r="Q335" t="s">
        <v>21</v>
      </c>
      <c r="R335" t="s">
        <v>22</v>
      </c>
      <c r="S335" s="8" t="str">
        <f t="shared" si="15"/>
        <v>Rush Hour</v>
      </c>
      <c r="T335" s="8" t="str">
        <f t="shared" si="16"/>
        <v>Low</v>
      </c>
      <c r="U335" s="8" t="str">
        <f t="shared" si="17"/>
        <v>Morning</v>
      </c>
      <c r="V335" s="8"/>
      <c r="W335" s="8"/>
    </row>
    <row r="336" spans="1:23" ht="15.75" thickBot="1" x14ac:dyDescent="0.3">
      <c r="A336" s="5">
        <v>335</v>
      </c>
      <c r="B336" s="6">
        <v>40558</v>
      </c>
      <c r="C336" s="5">
        <v>1</v>
      </c>
      <c r="D336" s="5">
        <v>0</v>
      </c>
      <c r="E336" s="5">
        <v>1</v>
      </c>
      <c r="F336" s="5">
        <v>10</v>
      </c>
      <c r="G336" s="7" t="b">
        <v>0</v>
      </c>
      <c r="H336" s="5">
        <v>6</v>
      </c>
      <c r="I336" s="5">
        <v>1</v>
      </c>
      <c r="J336" s="5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  <c r="Q336" t="s">
        <v>21</v>
      </c>
      <c r="R336" t="s">
        <v>22</v>
      </c>
      <c r="S336" s="8" t="str">
        <f t="shared" si="15"/>
        <v>Normal</v>
      </c>
      <c r="T336" s="8" t="str">
        <f t="shared" si="16"/>
        <v>Medium</v>
      </c>
      <c r="U336" s="8" t="str">
        <f t="shared" si="17"/>
        <v>Morning</v>
      </c>
      <c r="V336" s="8"/>
      <c r="W336" s="8"/>
    </row>
    <row r="337" spans="1:23" ht="15.75" thickBot="1" x14ac:dyDescent="0.3">
      <c r="A337" s="5">
        <v>336</v>
      </c>
      <c r="B337" s="6">
        <v>40558</v>
      </c>
      <c r="C337" s="5">
        <v>1</v>
      </c>
      <c r="D337" s="5">
        <v>0</v>
      </c>
      <c r="E337" s="5">
        <v>1</v>
      </c>
      <c r="F337" s="5">
        <v>11</v>
      </c>
      <c r="G337" s="7" t="b">
        <v>0</v>
      </c>
      <c r="H337" s="5">
        <v>6</v>
      </c>
      <c r="I337" s="5">
        <v>1</v>
      </c>
      <c r="J337" s="5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  <c r="Q337" t="s">
        <v>21</v>
      </c>
      <c r="R337" t="s">
        <v>22</v>
      </c>
      <c r="S337" s="8" t="str">
        <f t="shared" si="15"/>
        <v>Normal</v>
      </c>
      <c r="T337" s="8" t="str">
        <f t="shared" si="16"/>
        <v>Medium</v>
      </c>
      <c r="U337" s="8" t="str">
        <f t="shared" si="17"/>
        <v>Morning</v>
      </c>
      <c r="V337" s="8"/>
      <c r="W337" s="8"/>
    </row>
    <row r="338" spans="1:23" ht="15.75" thickBot="1" x14ac:dyDescent="0.3">
      <c r="A338" s="5">
        <v>337</v>
      </c>
      <c r="B338" s="6">
        <v>40558</v>
      </c>
      <c r="C338" s="5">
        <v>1</v>
      </c>
      <c r="D338" s="5">
        <v>0</v>
      </c>
      <c r="E338" s="5">
        <v>1</v>
      </c>
      <c r="F338" s="5">
        <v>12</v>
      </c>
      <c r="G338" s="7" t="b">
        <v>0</v>
      </c>
      <c r="H338" s="5">
        <v>6</v>
      </c>
      <c r="I338" s="5">
        <v>1</v>
      </c>
      <c r="J338" s="5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  <c r="Q338" t="s">
        <v>21</v>
      </c>
      <c r="R338" t="s">
        <v>22</v>
      </c>
      <c r="S338" s="8" t="str">
        <f t="shared" si="15"/>
        <v>Normal</v>
      </c>
      <c r="T338" s="8" t="str">
        <f t="shared" si="16"/>
        <v>Medium</v>
      </c>
      <c r="U338" s="8" t="str">
        <f t="shared" si="17"/>
        <v>Afternoon</v>
      </c>
      <c r="V338" s="8"/>
      <c r="W338" s="8"/>
    </row>
    <row r="339" spans="1:23" ht="15.75" thickBot="1" x14ac:dyDescent="0.3">
      <c r="A339" s="5">
        <v>338</v>
      </c>
      <c r="B339" s="6">
        <v>40558</v>
      </c>
      <c r="C339" s="5">
        <v>1</v>
      </c>
      <c r="D339" s="5">
        <v>0</v>
      </c>
      <c r="E339" s="5">
        <v>1</v>
      </c>
      <c r="F339" s="5">
        <v>13</v>
      </c>
      <c r="G339" s="7" t="b">
        <v>0</v>
      </c>
      <c r="H339" s="5">
        <v>6</v>
      </c>
      <c r="I339" s="5">
        <v>1</v>
      </c>
      <c r="J339" s="5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  <c r="Q339" t="s">
        <v>21</v>
      </c>
      <c r="R339" t="s">
        <v>22</v>
      </c>
      <c r="S339" s="8" t="str">
        <f t="shared" si="15"/>
        <v>Normal</v>
      </c>
      <c r="T339" s="8" t="str">
        <f t="shared" si="16"/>
        <v>Medium</v>
      </c>
      <c r="U339" s="8" t="str">
        <f t="shared" si="17"/>
        <v>Afternoon</v>
      </c>
      <c r="V339" s="8"/>
      <c r="W339" s="8"/>
    </row>
    <row r="340" spans="1:23" ht="15.75" thickBot="1" x14ac:dyDescent="0.3">
      <c r="A340" s="5">
        <v>339</v>
      </c>
      <c r="B340" s="6">
        <v>40558</v>
      </c>
      <c r="C340" s="5">
        <v>1</v>
      </c>
      <c r="D340" s="5">
        <v>0</v>
      </c>
      <c r="E340" s="5">
        <v>1</v>
      </c>
      <c r="F340" s="5">
        <v>14</v>
      </c>
      <c r="G340" s="7" t="b">
        <v>0</v>
      </c>
      <c r="H340" s="5">
        <v>6</v>
      </c>
      <c r="I340" s="5">
        <v>1</v>
      </c>
      <c r="J340" s="5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  <c r="Q340" t="s">
        <v>21</v>
      </c>
      <c r="R340" t="s">
        <v>22</v>
      </c>
      <c r="S340" s="8" t="str">
        <f t="shared" si="15"/>
        <v>Normal</v>
      </c>
      <c r="T340" s="8" t="str">
        <f t="shared" si="16"/>
        <v>Medium</v>
      </c>
      <c r="U340" s="8" t="str">
        <f t="shared" si="17"/>
        <v>Afternoon</v>
      </c>
      <c r="V340" s="8"/>
      <c r="W340" s="8"/>
    </row>
    <row r="341" spans="1:23" ht="15.75" thickBot="1" x14ac:dyDescent="0.3">
      <c r="A341" s="5">
        <v>340</v>
      </c>
      <c r="B341" s="6">
        <v>40558</v>
      </c>
      <c r="C341" s="5">
        <v>1</v>
      </c>
      <c r="D341" s="5">
        <v>0</v>
      </c>
      <c r="E341" s="5">
        <v>1</v>
      </c>
      <c r="F341" s="5">
        <v>15</v>
      </c>
      <c r="G341" s="7" t="b">
        <v>0</v>
      </c>
      <c r="H341" s="5">
        <v>6</v>
      </c>
      <c r="I341" s="5">
        <v>2</v>
      </c>
      <c r="J341" s="5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  <c r="Q341" t="s">
        <v>21</v>
      </c>
      <c r="R341" t="s">
        <v>26</v>
      </c>
      <c r="S341" s="8" t="str">
        <f t="shared" si="15"/>
        <v>Normal</v>
      </c>
      <c r="T341" s="8" t="str">
        <f t="shared" si="16"/>
        <v>Medium</v>
      </c>
      <c r="U341" s="8" t="str">
        <f t="shared" si="17"/>
        <v>Afternoon</v>
      </c>
      <c r="V341" s="8"/>
      <c r="W341" s="8"/>
    </row>
    <row r="342" spans="1:23" ht="15.75" thickBot="1" x14ac:dyDescent="0.3">
      <c r="A342" s="5">
        <v>341</v>
      </c>
      <c r="B342" s="6">
        <v>40558</v>
      </c>
      <c r="C342" s="5">
        <v>1</v>
      </c>
      <c r="D342" s="5">
        <v>0</v>
      </c>
      <c r="E342" s="5">
        <v>1</v>
      </c>
      <c r="F342" s="5">
        <v>16</v>
      </c>
      <c r="G342" s="7" t="b">
        <v>0</v>
      </c>
      <c r="H342" s="5">
        <v>6</v>
      </c>
      <c r="I342" s="5">
        <v>2</v>
      </c>
      <c r="J342" s="5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  <c r="Q342" t="s">
        <v>21</v>
      </c>
      <c r="R342" t="s">
        <v>26</v>
      </c>
      <c r="S342" s="8" t="str">
        <f t="shared" si="15"/>
        <v>Normal</v>
      </c>
      <c r="T342" s="8" t="str">
        <f t="shared" si="16"/>
        <v>Medium</v>
      </c>
      <c r="U342" s="8" t="str">
        <f t="shared" si="17"/>
        <v>Afternoon</v>
      </c>
      <c r="V342" s="8"/>
      <c r="W342" s="8"/>
    </row>
    <row r="343" spans="1:23" ht="15.75" thickBot="1" x14ac:dyDescent="0.3">
      <c r="A343" s="5">
        <v>342</v>
      </c>
      <c r="B343" s="6">
        <v>40558</v>
      </c>
      <c r="C343" s="5">
        <v>1</v>
      </c>
      <c r="D343" s="5">
        <v>0</v>
      </c>
      <c r="E343" s="5">
        <v>1</v>
      </c>
      <c r="F343" s="5">
        <v>17</v>
      </c>
      <c r="G343" s="7" t="b">
        <v>0</v>
      </c>
      <c r="H343" s="5">
        <v>6</v>
      </c>
      <c r="I343" s="5">
        <v>2</v>
      </c>
      <c r="J343" s="5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  <c r="Q343" t="s">
        <v>21</v>
      </c>
      <c r="R343" t="s">
        <v>26</v>
      </c>
      <c r="S343" s="8" t="str">
        <f t="shared" si="15"/>
        <v>Rush Hour</v>
      </c>
      <c r="T343" s="8" t="str">
        <f t="shared" si="16"/>
        <v>Medium</v>
      </c>
      <c r="U343" s="8" t="str">
        <f t="shared" si="17"/>
        <v>Afternoon</v>
      </c>
      <c r="V343" s="8"/>
      <c r="W343" s="8"/>
    </row>
    <row r="344" spans="1:23" ht="15.75" thickBot="1" x14ac:dyDescent="0.3">
      <c r="A344" s="5">
        <v>343</v>
      </c>
      <c r="B344" s="6">
        <v>40558</v>
      </c>
      <c r="C344" s="5">
        <v>1</v>
      </c>
      <c r="D344" s="5">
        <v>0</v>
      </c>
      <c r="E344" s="5">
        <v>1</v>
      </c>
      <c r="F344" s="5">
        <v>18</v>
      </c>
      <c r="G344" s="7" t="b">
        <v>0</v>
      </c>
      <c r="H344" s="5">
        <v>6</v>
      </c>
      <c r="I344" s="5">
        <v>2</v>
      </c>
      <c r="J344" s="5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  <c r="Q344" t="s">
        <v>21</v>
      </c>
      <c r="R344" t="s">
        <v>26</v>
      </c>
      <c r="S344" s="8" t="str">
        <f t="shared" si="15"/>
        <v>Rush Hour</v>
      </c>
      <c r="T344" s="8" t="str">
        <f t="shared" si="16"/>
        <v>Medium</v>
      </c>
      <c r="U344" s="8" t="str">
        <f t="shared" si="17"/>
        <v>Evening</v>
      </c>
      <c r="V344" s="8"/>
      <c r="W344" s="8"/>
    </row>
    <row r="345" spans="1:23" ht="15.75" thickBot="1" x14ac:dyDescent="0.3">
      <c r="A345" s="5">
        <v>344</v>
      </c>
      <c r="B345" s="6">
        <v>40558</v>
      </c>
      <c r="C345" s="5">
        <v>1</v>
      </c>
      <c r="D345" s="5">
        <v>0</v>
      </c>
      <c r="E345" s="5">
        <v>1</v>
      </c>
      <c r="F345" s="5">
        <v>19</v>
      </c>
      <c r="G345" s="7" t="b">
        <v>0</v>
      </c>
      <c r="H345" s="5">
        <v>6</v>
      </c>
      <c r="I345" s="5">
        <v>2</v>
      </c>
      <c r="J345" s="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  <c r="Q345" t="s">
        <v>21</v>
      </c>
      <c r="R345" t="s">
        <v>26</v>
      </c>
      <c r="S345" s="8" t="str">
        <f t="shared" si="15"/>
        <v>Rush Hour</v>
      </c>
      <c r="T345" s="8" t="str">
        <f t="shared" si="16"/>
        <v>Medium</v>
      </c>
      <c r="U345" s="8" t="str">
        <f t="shared" si="17"/>
        <v>Evening</v>
      </c>
      <c r="V345" s="8"/>
      <c r="W345" s="8"/>
    </row>
    <row r="346" spans="1:23" ht="15.75" thickBot="1" x14ac:dyDescent="0.3">
      <c r="A346" s="5">
        <v>345</v>
      </c>
      <c r="B346" s="6">
        <v>40558</v>
      </c>
      <c r="C346" s="5">
        <v>1</v>
      </c>
      <c r="D346" s="5">
        <v>0</v>
      </c>
      <c r="E346" s="5">
        <v>1</v>
      </c>
      <c r="F346" s="5">
        <v>20</v>
      </c>
      <c r="G346" s="7" t="b">
        <v>0</v>
      </c>
      <c r="H346" s="5">
        <v>6</v>
      </c>
      <c r="I346" s="5">
        <v>2</v>
      </c>
      <c r="J346" s="5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  <c r="Q346" t="s">
        <v>21</v>
      </c>
      <c r="R346" t="s">
        <v>26</v>
      </c>
      <c r="S346" s="8" t="str">
        <f t="shared" si="15"/>
        <v>Normal</v>
      </c>
      <c r="T346" s="8" t="str">
        <f t="shared" si="16"/>
        <v>Low</v>
      </c>
      <c r="U346" s="8" t="str">
        <f t="shared" si="17"/>
        <v>Evening</v>
      </c>
      <c r="V346" s="8"/>
      <c r="W346" s="8"/>
    </row>
    <row r="347" spans="1:23" ht="15.75" thickBot="1" x14ac:dyDescent="0.3">
      <c r="A347" s="5">
        <v>346</v>
      </c>
      <c r="B347" s="6">
        <v>40558</v>
      </c>
      <c r="C347" s="5">
        <v>1</v>
      </c>
      <c r="D347" s="5">
        <v>0</v>
      </c>
      <c r="E347" s="5">
        <v>1</v>
      </c>
      <c r="F347" s="5">
        <v>21</v>
      </c>
      <c r="G347" s="7" t="b">
        <v>0</v>
      </c>
      <c r="H347" s="5">
        <v>6</v>
      </c>
      <c r="I347" s="5">
        <v>2</v>
      </c>
      <c r="J347" s="5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  <c r="Q347" t="s">
        <v>21</v>
      </c>
      <c r="R347" t="s">
        <v>26</v>
      </c>
      <c r="S347" s="8" t="str">
        <f t="shared" si="15"/>
        <v>Normal</v>
      </c>
      <c r="T347" s="8" t="str">
        <f t="shared" si="16"/>
        <v>Medium</v>
      </c>
      <c r="U347" s="8" t="str">
        <f t="shared" si="17"/>
        <v>Evening</v>
      </c>
      <c r="V347" s="8"/>
      <c r="W347" s="8"/>
    </row>
    <row r="348" spans="1:23" ht="15.75" thickBot="1" x14ac:dyDescent="0.3">
      <c r="A348" s="5">
        <v>347</v>
      </c>
      <c r="B348" s="6">
        <v>40558</v>
      </c>
      <c r="C348" s="5">
        <v>1</v>
      </c>
      <c r="D348" s="5">
        <v>0</v>
      </c>
      <c r="E348" s="5">
        <v>1</v>
      </c>
      <c r="F348" s="5">
        <v>22</v>
      </c>
      <c r="G348" s="7" t="b">
        <v>0</v>
      </c>
      <c r="H348" s="5">
        <v>6</v>
      </c>
      <c r="I348" s="5">
        <v>2</v>
      </c>
      <c r="J348" s="5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  <c r="Q348" t="s">
        <v>21</v>
      </c>
      <c r="R348" t="s">
        <v>26</v>
      </c>
      <c r="S348" s="8" t="str">
        <f t="shared" si="15"/>
        <v>Normal</v>
      </c>
      <c r="T348" s="8" t="str">
        <f t="shared" si="16"/>
        <v>Low</v>
      </c>
      <c r="U348" s="8" t="str">
        <f t="shared" si="17"/>
        <v>Evening</v>
      </c>
      <c r="V348" s="8"/>
      <c r="W348" s="8"/>
    </row>
    <row r="349" spans="1:23" ht="15.75" thickBot="1" x14ac:dyDescent="0.3">
      <c r="A349" s="5">
        <v>348</v>
      </c>
      <c r="B349" s="6">
        <v>40558</v>
      </c>
      <c r="C349" s="5">
        <v>1</v>
      </c>
      <c r="D349" s="5">
        <v>0</v>
      </c>
      <c r="E349" s="5">
        <v>1</v>
      </c>
      <c r="F349" s="5">
        <v>23</v>
      </c>
      <c r="G349" s="7" t="b">
        <v>0</v>
      </c>
      <c r="H349" s="5">
        <v>6</v>
      </c>
      <c r="I349" s="5">
        <v>1</v>
      </c>
      <c r="J349" s="5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  <c r="Q349" t="s">
        <v>21</v>
      </c>
      <c r="R349" t="s">
        <v>22</v>
      </c>
      <c r="S349" s="8" t="str">
        <f t="shared" si="15"/>
        <v>Normal</v>
      </c>
      <c r="T349" s="8" t="str">
        <f t="shared" si="16"/>
        <v>Low</v>
      </c>
      <c r="U349" s="8" t="str">
        <f t="shared" si="17"/>
        <v>Evening</v>
      </c>
      <c r="V349" s="8"/>
      <c r="W349" s="8"/>
    </row>
    <row r="350" spans="1:23" ht="15.75" thickBot="1" x14ac:dyDescent="0.3">
      <c r="A350" s="5">
        <v>349</v>
      </c>
      <c r="B350" s="6">
        <v>40559</v>
      </c>
      <c r="C350" s="5">
        <v>1</v>
      </c>
      <c r="D350" s="5">
        <v>0</v>
      </c>
      <c r="E350" s="5">
        <v>1</v>
      </c>
      <c r="F350" s="5">
        <v>0</v>
      </c>
      <c r="G350" s="7" t="b">
        <v>0</v>
      </c>
      <c r="H350" s="5">
        <v>0</v>
      </c>
      <c r="I350" s="5">
        <v>1</v>
      </c>
      <c r="J350" s="5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  <c r="Q350" t="s">
        <v>47</v>
      </c>
      <c r="R350" t="s">
        <v>22</v>
      </c>
      <c r="S350" s="8" t="str">
        <f t="shared" si="15"/>
        <v>Normal</v>
      </c>
      <c r="T350" s="8" t="str">
        <f t="shared" si="16"/>
        <v>Low</v>
      </c>
      <c r="U350" s="8" t="str">
        <f t="shared" si="17"/>
        <v>Night</v>
      </c>
      <c r="V350" s="8"/>
      <c r="W350" s="8"/>
    </row>
    <row r="351" spans="1:23" ht="15.75" thickBot="1" x14ac:dyDescent="0.3">
      <c r="A351" s="5">
        <v>350</v>
      </c>
      <c r="B351" s="6">
        <v>40559</v>
      </c>
      <c r="C351" s="5">
        <v>1</v>
      </c>
      <c r="D351" s="5">
        <v>0</v>
      </c>
      <c r="E351" s="5">
        <v>1</v>
      </c>
      <c r="F351" s="5">
        <v>1</v>
      </c>
      <c r="G351" s="7" t="b">
        <v>0</v>
      </c>
      <c r="H351" s="5">
        <v>0</v>
      </c>
      <c r="I351" s="5">
        <v>1</v>
      </c>
      <c r="J351" s="5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  <c r="Q351" t="s">
        <v>47</v>
      </c>
      <c r="R351" t="s">
        <v>22</v>
      </c>
      <c r="S351" s="8" t="str">
        <f t="shared" si="15"/>
        <v>Normal</v>
      </c>
      <c r="T351" s="8" t="str">
        <f t="shared" si="16"/>
        <v>Low</v>
      </c>
      <c r="U351" s="8" t="str">
        <f t="shared" si="17"/>
        <v>Night</v>
      </c>
      <c r="V351" s="8"/>
      <c r="W351" s="8"/>
    </row>
    <row r="352" spans="1:23" ht="15.75" thickBot="1" x14ac:dyDescent="0.3">
      <c r="A352" s="5">
        <v>351</v>
      </c>
      <c r="B352" s="6">
        <v>40559</v>
      </c>
      <c r="C352" s="5">
        <v>1</v>
      </c>
      <c r="D352" s="5">
        <v>0</v>
      </c>
      <c r="E352" s="5">
        <v>1</v>
      </c>
      <c r="F352" s="5">
        <v>2</v>
      </c>
      <c r="G352" s="7" t="b">
        <v>0</v>
      </c>
      <c r="H352" s="5">
        <v>0</v>
      </c>
      <c r="I352" s="5">
        <v>1</v>
      </c>
      <c r="J352" s="5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  <c r="Q352" t="s">
        <v>47</v>
      </c>
      <c r="R352" t="s">
        <v>22</v>
      </c>
      <c r="S352" s="8" t="str">
        <f t="shared" si="15"/>
        <v>Normal</v>
      </c>
      <c r="T352" s="8" t="str">
        <f t="shared" si="16"/>
        <v>Low</v>
      </c>
      <c r="U352" s="8" t="str">
        <f t="shared" si="17"/>
        <v>Night</v>
      </c>
      <c r="V352" s="8"/>
      <c r="W352" s="8"/>
    </row>
    <row r="353" spans="1:23" ht="15.75" thickBot="1" x14ac:dyDescent="0.3">
      <c r="A353" s="5">
        <v>352</v>
      </c>
      <c r="B353" s="6">
        <v>40559</v>
      </c>
      <c r="C353" s="5">
        <v>1</v>
      </c>
      <c r="D353" s="5">
        <v>0</v>
      </c>
      <c r="E353" s="5">
        <v>1</v>
      </c>
      <c r="F353" s="5">
        <v>3</v>
      </c>
      <c r="G353" s="7" t="b">
        <v>0</v>
      </c>
      <c r="H353" s="5">
        <v>0</v>
      </c>
      <c r="I353" s="5">
        <v>1</v>
      </c>
      <c r="J353" s="5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  <c r="Q353" t="s">
        <v>47</v>
      </c>
      <c r="R353" t="s">
        <v>22</v>
      </c>
      <c r="S353" s="8" t="str">
        <f t="shared" si="15"/>
        <v>Normal</v>
      </c>
      <c r="T353" s="8" t="str">
        <f t="shared" si="16"/>
        <v>Low</v>
      </c>
      <c r="U353" s="8" t="str">
        <f t="shared" si="17"/>
        <v>Night</v>
      </c>
      <c r="V353" s="8"/>
      <c r="W353" s="8"/>
    </row>
    <row r="354" spans="1:23" ht="15.75" thickBot="1" x14ac:dyDescent="0.3">
      <c r="A354" s="5">
        <v>353</v>
      </c>
      <c r="B354" s="6">
        <v>40559</v>
      </c>
      <c r="C354" s="5">
        <v>1</v>
      </c>
      <c r="D354" s="5">
        <v>0</v>
      </c>
      <c r="E354" s="5">
        <v>1</v>
      </c>
      <c r="F354" s="5">
        <v>4</v>
      </c>
      <c r="G354" s="7" t="b">
        <v>0</v>
      </c>
      <c r="H354" s="5">
        <v>0</v>
      </c>
      <c r="I354" s="5">
        <v>1</v>
      </c>
      <c r="J354" s="5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  <c r="Q354" t="s">
        <v>47</v>
      </c>
      <c r="R354" t="s">
        <v>22</v>
      </c>
      <c r="S354" s="8" t="str">
        <f t="shared" si="15"/>
        <v>Normal</v>
      </c>
      <c r="T354" s="8" t="str">
        <f t="shared" si="16"/>
        <v>Low</v>
      </c>
      <c r="U354" s="8" t="str">
        <f t="shared" si="17"/>
        <v>Night</v>
      </c>
      <c r="V354" s="8"/>
      <c r="W354" s="8"/>
    </row>
    <row r="355" spans="1:23" ht="15.75" thickBot="1" x14ac:dyDescent="0.3">
      <c r="A355" s="5">
        <v>354</v>
      </c>
      <c r="B355" s="6">
        <v>40559</v>
      </c>
      <c r="C355" s="5">
        <v>1</v>
      </c>
      <c r="D355" s="5">
        <v>0</v>
      </c>
      <c r="E355" s="5">
        <v>1</v>
      </c>
      <c r="F355" s="5">
        <v>5</v>
      </c>
      <c r="G355" s="7" t="b">
        <v>0</v>
      </c>
      <c r="H355" s="5">
        <v>0</v>
      </c>
      <c r="I355" s="5">
        <v>2</v>
      </c>
      <c r="J355" s="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  <c r="Q355" t="s">
        <v>47</v>
      </c>
      <c r="R355" t="s">
        <v>26</v>
      </c>
      <c r="S355" s="8" t="str">
        <f t="shared" si="15"/>
        <v>Normal</v>
      </c>
      <c r="T355" s="8" t="str">
        <f t="shared" si="16"/>
        <v>Low</v>
      </c>
      <c r="U355" s="8" t="str">
        <f t="shared" si="17"/>
        <v>Night</v>
      </c>
      <c r="V355" s="8"/>
      <c r="W355" s="8"/>
    </row>
    <row r="356" spans="1:23" ht="15.75" thickBot="1" x14ac:dyDescent="0.3">
      <c r="A356" s="5">
        <v>355</v>
      </c>
      <c r="B356" s="6">
        <v>40559</v>
      </c>
      <c r="C356" s="5">
        <v>1</v>
      </c>
      <c r="D356" s="5">
        <v>0</v>
      </c>
      <c r="E356" s="5">
        <v>1</v>
      </c>
      <c r="F356" s="5">
        <v>6</v>
      </c>
      <c r="G356" s="7" t="b">
        <v>0</v>
      </c>
      <c r="H356" s="5">
        <v>0</v>
      </c>
      <c r="I356" s="5">
        <v>2</v>
      </c>
      <c r="J356" s="5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  <c r="Q356" t="s">
        <v>47</v>
      </c>
      <c r="R356" t="s">
        <v>26</v>
      </c>
      <c r="S356" s="8" t="str">
        <f t="shared" si="15"/>
        <v>Normal</v>
      </c>
      <c r="T356" s="8" t="str">
        <f t="shared" si="16"/>
        <v>Low</v>
      </c>
      <c r="U356" s="8" t="str">
        <f t="shared" si="17"/>
        <v>Morning</v>
      </c>
      <c r="V356" s="8"/>
      <c r="W356" s="8"/>
    </row>
    <row r="357" spans="1:23" ht="15.75" thickBot="1" x14ac:dyDescent="0.3">
      <c r="A357" s="5">
        <v>356</v>
      </c>
      <c r="B357" s="6">
        <v>40559</v>
      </c>
      <c r="C357" s="5">
        <v>1</v>
      </c>
      <c r="D357" s="5">
        <v>0</v>
      </c>
      <c r="E357" s="5">
        <v>1</v>
      </c>
      <c r="F357" s="5">
        <v>7</v>
      </c>
      <c r="G357" s="7" t="b">
        <v>0</v>
      </c>
      <c r="H357" s="5">
        <v>0</v>
      </c>
      <c r="I357" s="5">
        <v>2</v>
      </c>
      <c r="J357" s="5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  <c r="Q357" t="s">
        <v>47</v>
      </c>
      <c r="R357" t="s">
        <v>26</v>
      </c>
      <c r="S357" s="8" t="str">
        <f t="shared" si="15"/>
        <v>Rush Hour</v>
      </c>
      <c r="T357" s="8" t="str">
        <f t="shared" si="16"/>
        <v>Low</v>
      </c>
      <c r="U357" s="8" t="str">
        <f t="shared" si="17"/>
        <v>Morning</v>
      </c>
      <c r="V357" s="8"/>
      <c r="W357" s="8"/>
    </row>
    <row r="358" spans="1:23" ht="15.75" thickBot="1" x14ac:dyDescent="0.3">
      <c r="A358" s="5">
        <v>357</v>
      </c>
      <c r="B358" s="6">
        <v>40559</v>
      </c>
      <c r="C358" s="5">
        <v>1</v>
      </c>
      <c r="D358" s="5">
        <v>0</v>
      </c>
      <c r="E358" s="5">
        <v>1</v>
      </c>
      <c r="F358" s="5">
        <v>8</v>
      </c>
      <c r="G358" s="7" t="b">
        <v>0</v>
      </c>
      <c r="H358" s="5">
        <v>0</v>
      </c>
      <c r="I358" s="5">
        <v>1</v>
      </c>
      <c r="J358" s="5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  <c r="Q358" t="s">
        <v>47</v>
      </c>
      <c r="R358" t="s">
        <v>22</v>
      </c>
      <c r="S358" s="8" t="str">
        <f t="shared" si="15"/>
        <v>Rush Hour</v>
      </c>
      <c r="T358" s="8" t="str">
        <f t="shared" si="16"/>
        <v>Low</v>
      </c>
      <c r="U358" s="8" t="str">
        <f t="shared" si="17"/>
        <v>Morning</v>
      </c>
      <c r="V358" s="8"/>
      <c r="W358" s="8"/>
    </row>
    <row r="359" spans="1:23" ht="15.75" thickBot="1" x14ac:dyDescent="0.3">
      <c r="A359" s="5">
        <v>358</v>
      </c>
      <c r="B359" s="6">
        <v>40559</v>
      </c>
      <c r="C359" s="5">
        <v>1</v>
      </c>
      <c r="D359" s="5">
        <v>0</v>
      </c>
      <c r="E359" s="5">
        <v>1</v>
      </c>
      <c r="F359" s="5">
        <v>9</v>
      </c>
      <c r="G359" s="7" t="b">
        <v>0</v>
      </c>
      <c r="H359" s="5">
        <v>0</v>
      </c>
      <c r="I359" s="5">
        <v>1</v>
      </c>
      <c r="J359" s="5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  <c r="Q359" t="s">
        <v>47</v>
      </c>
      <c r="R359" t="s">
        <v>22</v>
      </c>
      <c r="S359" s="8" t="str">
        <f t="shared" si="15"/>
        <v>Rush Hour</v>
      </c>
      <c r="T359" s="8" t="str">
        <f t="shared" si="16"/>
        <v>Low</v>
      </c>
      <c r="U359" s="8" t="str">
        <f t="shared" si="17"/>
        <v>Morning</v>
      </c>
      <c r="V359" s="8"/>
      <c r="W359" s="8"/>
    </row>
    <row r="360" spans="1:23" ht="15.75" thickBot="1" x14ac:dyDescent="0.3">
      <c r="A360" s="5">
        <v>359</v>
      </c>
      <c r="B360" s="6">
        <v>40559</v>
      </c>
      <c r="C360" s="5">
        <v>1</v>
      </c>
      <c r="D360" s="5">
        <v>0</v>
      </c>
      <c r="E360" s="5">
        <v>1</v>
      </c>
      <c r="F360" s="5">
        <v>10</v>
      </c>
      <c r="G360" s="7" t="b">
        <v>0</v>
      </c>
      <c r="H360" s="5">
        <v>0</v>
      </c>
      <c r="I360" s="5">
        <v>1</v>
      </c>
      <c r="J360" s="5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  <c r="Q360" t="s">
        <v>47</v>
      </c>
      <c r="R360" t="s">
        <v>22</v>
      </c>
      <c r="S360" s="8" t="str">
        <f t="shared" si="15"/>
        <v>Normal</v>
      </c>
      <c r="T360" s="8" t="str">
        <f t="shared" si="16"/>
        <v>Medium</v>
      </c>
      <c r="U360" s="8" t="str">
        <f t="shared" si="17"/>
        <v>Morning</v>
      </c>
      <c r="V360" s="8"/>
      <c r="W360" s="8"/>
    </row>
    <row r="361" spans="1:23" ht="15.75" thickBot="1" x14ac:dyDescent="0.3">
      <c r="A361" s="5">
        <v>360</v>
      </c>
      <c r="B361" s="6">
        <v>40559</v>
      </c>
      <c r="C361" s="5">
        <v>1</v>
      </c>
      <c r="D361" s="5">
        <v>0</v>
      </c>
      <c r="E361" s="5">
        <v>1</v>
      </c>
      <c r="F361" s="5">
        <v>11</v>
      </c>
      <c r="G361" s="7" t="b">
        <v>0</v>
      </c>
      <c r="H361" s="5">
        <v>0</v>
      </c>
      <c r="I361" s="5">
        <v>1</v>
      </c>
      <c r="J361" s="5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  <c r="Q361" t="s">
        <v>47</v>
      </c>
      <c r="R361" t="s">
        <v>22</v>
      </c>
      <c r="S361" s="8" t="str">
        <f t="shared" si="15"/>
        <v>Normal</v>
      </c>
      <c r="T361" s="8" t="str">
        <f t="shared" si="16"/>
        <v>Medium</v>
      </c>
      <c r="U361" s="8" t="str">
        <f t="shared" si="17"/>
        <v>Morning</v>
      </c>
      <c r="V361" s="8"/>
      <c r="W361" s="8"/>
    </row>
    <row r="362" spans="1:23" ht="15.75" thickBot="1" x14ac:dyDescent="0.3">
      <c r="A362" s="5">
        <v>361</v>
      </c>
      <c r="B362" s="6">
        <v>40559</v>
      </c>
      <c r="C362" s="5">
        <v>1</v>
      </c>
      <c r="D362" s="5">
        <v>0</v>
      </c>
      <c r="E362" s="5">
        <v>1</v>
      </c>
      <c r="F362" s="5">
        <v>12</v>
      </c>
      <c r="G362" s="7" t="b">
        <v>0</v>
      </c>
      <c r="H362" s="5">
        <v>0</v>
      </c>
      <c r="I362" s="5">
        <v>1</v>
      </c>
      <c r="J362" s="5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  <c r="Q362" t="s">
        <v>47</v>
      </c>
      <c r="R362" t="s">
        <v>22</v>
      </c>
      <c r="S362" s="8" t="str">
        <f t="shared" si="15"/>
        <v>Normal</v>
      </c>
      <c r="T362" s="8" t="str">
        <f t="shared" si="16"/>
        <v>Medium</v>
      </c>
      <c r="U362" s="8" t="str">
        <f t="shared" si="17"/>
        <v>Afternoon</v>
      </c>
      <c r="V362" s="8"/>
      <c r="W362" s="8"/>
    </row>
    <row r="363" spans="1:23" ht="15.75" thickBot="1" x14ac:dyDescent="0.3">
      <c r="A363" s="5">
        <v>362</v>
      </c>
      <c r="B363" s="6">
        <v>40559</v>
      </c>
      <c r="C363" s="5">
        <v>1</v>
      </c>
      <c r="D363" s="5">
        <v>0</v>
      </c>
      <c r="E363" s="5">
        <v>1</v>
      </c>
      <c r="F363" s="5">
        <v>13</v>
      </c>
      <c r="G363" s="7" t="b">
        <v>0</v>
      </c>
      <c r="H363" s="5">
        <v>0</v>
      </c>
      <c r="I363" s="5">
        <v>1</v>
      </c>
      <c r="J363" s="5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  <c r="Q363" t="s">
        <v>47</v>
      </c>
      <c r="R363" t="s">
        <v>22</v>
      </c>
      <c r="S363" s="8" t="str">
        <f t="shared" si="15"/>
        <v>Normal</v>
      </c>
      <c r="T363" s="8" t="str">
        <f t="shared" si="16"/>
        <v>Medium</v>
      </c>
      <c r="U363" s="8" t="str">
        <f t="shared" si="17"/>
        <v>Afternoon</v>
      </c>
      <c r="V363" s="8"/>
      <c r="W363" s="8"/>
    </row>
    <row r="364" spans="1:23" ht="15.75" thickBot="1" x14ac:dyDescent="0.3">
      <c r="A364" s="5">
        <v>363</v>
      </c>
      <c r="B364" s="6">
        <v>40559</v>
      </c>
      <c r="C364" s="5">
        <v>1</v>
      </c>
      <c r="D364" s="5">
        <v>0</v>
      </c>
      <c r="E364" s="5">
        <v>1</v>
      </c>
      <c r="F364" s="5">
        <v>14</v>
      </c>
      <c r="G364" s="7" t="b">
        <v>0</v>
      </c>
      <c r="H364" s="5">
        <v>0</v>
      </c>
      <c r="I364" s="5">
        <v>1</v>
      </c>
      <c r="J364" s="5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  <c r="Q364" t="s">
        <v>47</v>
      </c>
      <c r="R364" t="s">
        <v>22</v>
      </c>
      <c r="S364" s="8" t="str">
        <f t="shared" si="15"/>
        <v>Normal</v>
      </c>
      <c r="T364" s="8" t="str">
        <f t="shared" si="16"/>
        <v>Medium</v>
      </c>
      <c r="U364" s="8" t="str">
        <f t="shared" si="17"/>
        <v>Afternoon</v>
      </c>
      <c r="V364" s="8"/>
      <c r="W364" s="8"/>
    </row>
    <row r="365" spans="1:23" ht="15.75" thickBot="1" x14ac:dyDescent="0.3">
      <c r="A365" s="5">
        <v>364</v>
      </c>
      <c r="B365" s="6">
        <v>40559</v>
      </c>
      <c r="C365" s="5">
        <v>1</v>
      </c>
      <c r="D365" s="5">
        <v>0</v>
      </c>
      <c r="E365" s="5">
        <v>1</v>
      </c>
      <c r="F365" s="5">
        <v>15</v>
      </c>
      <c r="G365" s="7" t="b">
        <v>0</v>
      </c>
      <c r="H365" s="5">
        <v>0</v>
      </c>
      <c r="I365" s="5">
        <v>1</v>
      </c>
      <c r="J365" s="5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  <c r="Q365" t="s">
        <v>47</v>
      </c>
      <c r="R365" t="s">
        <v>22</v>
      </c>
      <c r="S365" s="8" t="str">
        <f t="shared" si="15"/>
        <v>Normal</v>
      </c>
      <c r="T365" s="8" t="str">
        <f t="shared" si="16"/>
        <v>Medium</v>
      </c>
      <c r="U365" s="8" t="str">
        <f t="shared" si="17"/>
        <v>Afternoon</v>
      </c>
      <c r="V365" s="8"/>
      <c r="W365" s="8"/>
    </row>
    <row r="366" spans="1:23" ht="15.75" thickBot="1" x14ac:dyDescent="0.3">
      <c r="A366" s="5">
        <v>365</v>
      </c>
      <c r="B366" s="6">
        <v>40559</v>
      </c>
      <c r="C366" s="5">
        <v>1</v>
      </c>
      <c r="D366" s="5">
        <v>0</v>
      </c>
      <c r="E366" s="5">
        <v>1</v>
      </c>
      <c r="F366" s="5">
        <v>16</v>
      </c>
      <c r="G366" s="7" t="b">
        <v>0</v>
      </c>
      <c r="H366" s="5">
        <v>0</v>
      </c>
      <c r="I366" s="5">
        <v>1</v>
      </c>
      <c r="J366" s="5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  <c r="Q366" t="s">
        <v>47</v>
      </c>
      <c r="R366" t="s">
        <v>22</v>
      </c>
      <c r="S366" s="8" t="str">
        <f t="shared" si="15"/>
        <v>Normal</v>
      </c>
      <c r="T366" s="8" t="str">
        <f t="shared" si="16"/>
        <v>Medium</v>
      </c>
      <c r="U366" s="8" t="str">
        <f t="shared" si="17"/>
        <v>Afternoon</v>
      </c>
      <c r="V366" s="8"/>
      <c r="W366" s="8"/>
    </row>
    <row r="367" spans="1:23" ht="15.75" thickBot="1" x14ac:dyDescent="0.3">
      <c r="A367" s="5">
        <v>366</v>
      </c>
      <c r="B367" s="6">
        <v>40559</v>
      </c>
      <c r="C367" s="5">
        <v>1</v>
      </c>
      <c r="D367" s="5">
        <v>0</v>
      </c>
      <c r="E367" s="5">
        <v>1</v>
      </c>
      <c r="F367" s="5">
        <v>17</v>
      </c>
      <c r="G367" s="7" t="b">
        <v>0</v>
      </c>
      <c r="H367" s="5">
        <v>0</v>
      </c>
      <c r="I367" s="5">
        <v>1</v>
      </c>
      <c r="J367" s="5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  <c r="Q367" t="s">
        <v>47</v>
      </c>
      <c r="R367" t="s">
        <v>22</v>
      </c>
      <c r="S367" s="8" t="str">
        <f t="shared" si="15"/>
        <v>Rush Hour</v>
      </c>
      <c r="T367" s="8" t="str">
        <f t="shared" si="16"/>
        <v>Medium</v>
      </c>
      <c r="U367" s="8" t="str">
        <f t="shared" si="17"/>
        <v>Afternoon</v>
      </c>
      <c r="V367" s="8"/>
      <c r="W367" s="8"/>
    </row>
    <row r="368" spans="1:23" ht="15.75" thickBot="1" x14ac:dyDescent="0.3">
      <c r="A368" s="5">
        <v>367</v>
      </c>
      <c r="B368" s="6">
        <v>40559</v>
      </c>
      <c r="C368" s="5">
        <v>1</v>
      </c>
      <c r="D368" s="5">
        <v>0</v>
      </c>
      <c r="E368" s="5">
        <v>1</v>
      </c>
      <c r="F368" s="5">
        <v>18</v>
      </c>
      <c r="G368" s="7" t="b">
        <v>0</v>
      </c>
      <c r="H368" s="5">
        <v>0</v>
      </c>
      <c r="I368" s="5">
        <v>1</v>
      </c>
      <c r="J368" s="5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  <c r="Q368" t="s">
        <v>47</v>
      </c>
      <c r="R368" t="s">
        <v>22</v>
      </c>
      <c r="S368" s="8" t="str">
        <f t="shared" si="15"/>
        <v>Rush Hour</v>
      </c>
      <c r="T368" s="8" t="str">
        <f t="shared" si="16"/>
        <v>Medium</v>
      </c>
      <c r="U368" s="8" t="str">
        <f t="shared" si="17"/>
        <v>Evening</v>
      </c>
      <c r="V368" s="8"/>
      <c r="W368" s="8"/>
    </row>
    <row r="369" spans="1:23" ht="15.75" thickBot="1" x14ac:dyDescent="0.3">
      <c r="A369" s="5">
        <v>368</v>
      </c>
      <c r="B369" s="6">
        <v>40559</v>
      </c>
      <c r="C369" s="5">
        <v>1</v>
      </c>
      <c r="D369" s="5">
        <v>0</v>
      </c>
      <c r="E369" s="5">
        <v>1</v>
      </c>
      <c r="F369" s="5">
        <v>19</v>
      </c>
      <c r="G369" s="7" t="b">
        <v>0</v>
      </c>
      <c r="H369" s="5">
        <v>0</v>
      </c>
      <c r="I369" s="5">
        <v>1</v>
      </c>
      <c r="J369" s="5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  <c r="Q369" t="s">
        <v>47</v>
      </c>
      <c r="R369" t="s">
        <v>22</v>
      </c>
      <c r="S369" s="8" t="str">
        <f t="shared" si="15"/>
        <v>Rush Hour</v>
      </c>
      <c r="T369" s="8" t="str">
        <f t="shared" si="16"/>
        <v>Medium</v>
      </c>
      <c r="U369" s="8" t="str">
        <f t="shared" si="17"/>
        <v>Evening</v>
      </c>
      <c r="V369" s="8"/>
      <c r="W369" s="8"/>
    </row>
    <row r="370" spans="1:23" ht="15.75" thickBot="1" x14ac:dyDescent="0.3">
      <c r="A370" s="5">
        <v>369</v>
      </c>
      <c r="B370" s="6">
        <v>40559</v>
      </c>
      <c r="C370" s="5">
        <v>1</v>
      </c>
      <c r="D370" s="5">
        <v>0</v>
      </c>
      <c r="E370" s="5">
        <v>1</v>
      </c>
      <c r="F370" s="5">
        <v>20</v>
      </c>
      <c r="G370" s="7" t="b">
        <v>0</v>
      </c>
      <c r="H370" s="5">
        <v>0</v>
      </c>
      <c r="I370" s="5">
        <v>1</v>
      </c>
      <c r="J370" s="5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  <c r="Q370" t="s">
        <v>47</v>
      </c>
      <c r="R370" t="s">
        <v>22</v>
      </c>
      <c r="S370" s="8" t="str">
        <f t="shared" si="15"/>
        <v>Normal</v>
      </c>
      <c r="T370" s="8" t="str">
        <f t="shared" si="16"/>
        <v>Medium</v>
      </c>
      <c r="U370" s="8" t="str">
        <f t="shared" si="17"/>
        <v>Evening</v>
      </c>
      <c r="V370" s="8"/>
      <c r="W370" s="8"/>
    </row>
    <row r="371" spans="1:23" ht="15.75" thickBot="1" x14ac:dyDescent="0.3">
      <c r="A371" s="5">
        <v>370</v>
      </c>
      <c r="B371" s="6">
        <v>40559</v>
      </c>
      <c r="C371" s="5">
        <v>1</v>
      </c>
      <c r="D371" s="5">
        <v>0</v>
      </c>
      <c r="E371" s="5">
        <v>1</v>
      </c>
      <c r="F371" s="5">
        <v>21</v>
      </c>
      <c r="G371" s="7" t="b">
        <v>0</v>
      </c>
      <c r="H371" s="5">
        <v>0</v>
      </c>
      <c r="I371" s="5">
        <v>1</v>
      </c>
      <c r="J371" s="5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  <c r="Q371" t="s">
        <v>47</v>
      </c>
      <c r="R371" t="s">
        <v>22</v>
      </c>
      <c r="S371" s="8" t="str">
        <f t="shared" si="15"/>
        <v>Normal</v>
      </c>
      <c r="T371" s="8" t="str">
        <f t="shared" si="16"/>
        <v>Low</v>
      </c>
      <c r="U371" s="8" t="str">
        <f t="shared" si="17"/>
        <v>Evening</v>
      </c>
      <c r="V371" s="8"/>
      <c r="W371" s="8"/>
    </row>
    <row r="372" spans="1:23" ht="15.75" thickBot="1" x14ac:dyDescent="0.3">
      <c r="A372" s="5">
        <v>371</v>
      </c>
      <c r="B372" s="6">
        <v>40559</v>
      </c>
      <c r="C372" s="5">
        <v>1</v>
      </c>
      <c r="D372" s="5">
        <v>0</v>
      </c>
      <c r="E372" s="5">
        <v>1</v>
      </c>
      <c r="F372" s="5">
        <v>22</v>
      </c>
      <c r="G372" s="7" t="b">
        <v>0</v>
      </c>
      <c r="H372" s="5">
        <v>0</v>
      </c>
      <c r="I372" s="5">
        <v>2</v>
      </c>
      <c r="J372" s="5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  <c r="Q372" t="s">
        <v>47</v>
      </c>
      <c r="R372" t="s">
        <v>26</v>
      </c>
      <c r="S372" s="8" t="str">
        <f t="shared" si="15"/>
        <v>Normal</v>
      </c>
      <c r="T372" s="8" t="str">
        <f t="shared" si="16"/>
        <v>Low</v>
      </c>
      <c r="U372" s="8" t="str">
        <f t="shared" si="17"/>
        <v>Evening</v>
      </c>
      <c r="V372" s="8"/>
      <c r="W372" s="8"/>
    </row>
    <row r="373" spans="1:23" ht="15.75" thickBot="1" x14ac:dyDescent="0.3">
      <c r="A373" s="5">
        <v>372</v>
      </c>
      <c r="B373" s="6">
        <v>40559</v>
      </c>
      <c r="C373" s="5">
        <v>1</v>
      </c>
      <c r="D373" s="5">
        <v>0</v>
      </c>
      <c r="E373" s="5">
        <v>1</v>
      </c>
      <c r="F373" s="5">
        <v>23</v>
      </c>
      <c r="G373" s="7" t="b">
        <v>0</v>
      </c>
      <c r="H373" s="5">
        <v>0</v>
      </c>
      <c r="I373" s="5">
        <v>2</v>
      </c>
      <c r="J373" s="5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  <c r="Q373" t="s">
        <v>47</v>
      </c>
      <c r="R373" t="s">
        <v>26</v>
      </c>
      <c r="S373" s="8" t="str">
        <f t="shared" si="15"/>
        <v>Normal</v>
      </c>
      <c r="T373" s="8" t="str">
        <f t="shared" si="16"/>
        <v>Low</v>
      </c>
      <c r="U373" s="8" t="str">
        <f t="shared" si="17"/>
        <v>Evening</v>
      </c>
      <c r="V373" s="8"/>
      <c r="W373" s="8"/>
    </row>
    <row r="374" spans="1:23" ht="15.75" thickBot="1" x14ac:dyDescent="0.3">
      <c r="A374" s="5">
        <v>373</v>
      </c>
      <c r="B374" s="6">
        <v>40560</v>
      </c>
      <c r="C374" s="5">
        <v>1</v>
      </c>
      <c r="D374" s="5">
        <v>0</v>
      </c>
      <c r="E374" s="5">
        <v>1</v>
      </c>
      <c r="F374" s="5">
        <v>0</v>
      </c>
      <c r="G374" s="7" t="b">
        <v>1</v>
      </c>
      <c r="H374" s="5">
        <v>1</v>
      </c>
      <c r="I374" s="5">
        <v>2</v>
      </c>
      <c r="J374" s="5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  <c r="Q374" t="s">
        <v>48</v>
      </c>
      <c r="R374" t="s">
        <v>26</v>
      </c>
      <c r="S374" s="8" t="str">
        <f t="shared" si="15"/>
        <v>Normal</v>
      </c>
      <c r="T374" s="8" t="str">
        <f t="shared" si="16"/>
        <v>Low</v>
      </c>
      <c r="U374" s="8" t="str">
        <f t="shared" si="17"/>
        <v>Night</v>
      </c>
      <c r="V374" s="8"/>
      <c r="W374" s="8"/>
    </row>
    <row r="375" spans="1:23" ht="15.75" thickBot="1" x14ac:dyDescent="0.3">
      <c r="A375" s="5">
        <v>374</v>
      </c>
      <c r="B375" s="6">
        <v>40560</v>
      </c>
      <c r="C375" s="5">
        <v>1</v>
      </c>
      <c r="D375" s="5">
        <v>0</v>
      </c>
      <c r="E375" s="5">
        <v>1</v>
      </c>
      <c r="F375" s="5">
        <v>1</v>
      </c>
      <c r="G375" s="7" t="b">
        <v>1</v>
      </c>
      <c r="H375" s="5">
        <v>1</v>
      </c>
      <c r="I375" s="5">
        <v>2</v>
      </c>
      <c r="J375" s="5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  <c r="Q375" t="s">
        <v>48</v>
      </c>
      <c r="R375" t="s">
        <v>26</v>
      </c>
      <c r="S375" s="8" t="str">
        <f t="shared" si="15"/>
        <v>Normal</v>
      </c>
      <c r="T375" s="8" t="str">
        <f t="shared" si="16"/>
        <v>Low</v>
      </c>
      <c r="U375" s="8" t="str">
        <f t="shared" si="17"/>
        <v>Night</v>
      </c>
      <c r="V375" s="8"/>
      <c r="W375" s="8"/>
    </row>
    <row r="376" spans="1:23" ht="15.75" thickBot="1" x14ac:dyDescent="0.3">
      <c r="A376" s="5">
        <v>375</v>
      </c>
      <c r="B376" s="6">
        <v>40560</v>
      </c>
      <c r="C376" s="5">
        <v>1</v>
      </c>
      <c r="D376" s="5">
        <v>0</v>
      </c>
      <c r="E376" s="5">
        <v>1</v>
      </c>
      <c r="F376" s="5">
        <v>2</v>
      </c>
      <c r="G376" s="7" t="b">
        <v>1</v>
      </c>
      <c r="H376" s="5">
        <v>1</v>
      </c>
      <c r="I376" s="5">
        <v>2</v>
      </c>
      <c r="J376" s="5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  <c r="Q376" t="s">
        <v>48</v>
      </c>
      <c r="R376" t="s">
        <v>26</v>
      </c>
      <c r="S376" s="8" t="str">
        <f t="shared" si="15"/>
        <v>Normal</v>
      </c>
      <c r="T376" s="8" t="str">
        <f t="shared" si="16"/>
        <v>Low</v>
      </c>
      <c r="U376" s="8" t="str">
        <f t="shared" si="17"/>
        <v>Night</v>
      </c>
      <c r="V376" s="8"/>
      <c r="W376" s="8"/>
    </row>
    <row r="377" spans="1:23" ht="15.75" thickBot="1" x14ac:dyDescent="0.3">
      <c r="A377" s="5">
        <v>376</v>
      </c>
      <c r="B377" s="6">
        <v>40560</v>
      </c>
      <c r="C377" s="5">
        <v>1</v>
      </c>
      <c r="D377" s="5">
        <v>0</v>
      </c>
      <c r="E377" s="5">
        <v>1</v>
      </c>
      <c r="F377" s="5">
        <v>3</v>
      </c>
      <c r="G377" s="7" t="b">
        <v>1</v>
      </c>
      <c r="H377" s="5">
        <v>1</v>
      </c>
      <c r="I377" s="5">
        <v>2</v>
      </c>
      <c r="J377" s="5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  <c r="Q377" t="s">
        <v>48</v>
      </c>
      <c r="R377" t="s">
        <v>26</v>
      </c>
      <c r="S377" s="8" t="str">
        <f t="shared" si="15"/>
        <v>Normal</v>
      </c>
      <c r="T377" s="8" t="str">
        <f t="shared" si="16"/>
        <v>Low</v>
      </c>
      <c r="U377" s="8" t="str">
        <f t="shared" si="17"/>
        <v>Night</v>
      </c>
      <c r="V377" s="8"/>
      <c r="W377" s="8"/>
    </row>
    <row r="378" spans="1:23" ht="15.75" thickBot="1" x14ac:dyDescent="0.3">
      <c r="A378" s="5">
        <v>377</v>
      </c>
      <c r="B378" s="6">
        <v>40560</v>
      </c>
      <c r="C378" s="5">
        <v>1</v>
      </c>
      <c r="D378" s="5">
        <v>0</v>
      </c>
      <c r="E378" s="5">
        <v>1</v>
      </c>
      <c r="F378" s="5">
        <v>4</v>
      </c>
      <c r="G378" s="7" t="b">
        <v>1</v>
      </c>
      <c r="H378" s="5">
        <v>1</v>
      </c>
      <c r="I378" s="5">
        <v>2</v>
      </c>
      <c r="J378" s="5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  <c r="Q378" t="s">
        <v>48</v>
      </c>
      <c r="R378" t="s">
        <v>26</v>
      </c>
      <c r="S378" s="8" t="str">
        <f t="shared" si="15"/>
        <v>Normal</v>
      </c>
      <c r="T378" s="8" t="str">
        <f t="shared" si="16"/>
        <v>Low</v>
      </c>
      <c r="U378" s="8" t="str">
        <f t="shared" si="17"/>
        <v>Night</v>
      </c>
      <c r="V378" s="8"/>
      <c r="W378" s="8"/>
    </row>
    <row r="379" spans="1:23" ht="15.75" thickBot="1" x14ac:dyDescent="0.3">
      <c r="A379" s="5">
        <v>378</v>
      </c>
      <c r="B379" s="6">
        <v>40560</v>
      </c>
      <c r="C379" s="5">
        <v>1</v>
      </c>
      <c r="D379" s="5">
        <v>0</v>
      </c>
      <c r="E379" s="5">
        <v>1</v>
      </c>
      <c r="F379" s="5">
        <v>5</v>
      </c>
      <c r="G379" s="7" t="b">
        <v>1</v>
      </c>
      <c r="H379" s="5">
        <v>1</v>
      </c>
      <c r="I379" s="5">
        <v>2</v>
      </c>
      <c r="J379" s="5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  <c r="Q379" t="s">
        <v>48</v>
      </c>
      <c r="R379" t="s">
        <v>26</v>
      </c>
      <c r="S379" s="8" t="str">
        <f t="shared" si="15"/>
        <v>Normal</v>
      </c>
      <c r="T379" s="8" t="str">
        <f t="shared" si="16"/>
        <v>Low</v>
      </c>
      <c r="U379" s="8" t="str">
        <f t="shared" si="17"/>
        <v>Night</v>
      </c>
      <c r="V379" s="8"/>
      <c r="W379" s="8"/>
    </row>
    <row r="380" spans="1:23" ht="15.75" thickBot="1" x14ac:dyDescent="0.3">
      <c r="A380" s="5">
        <v>379</v>
      </c>
      <c r="B380" s="6">
        <v>40560</v>
      </c>
      <c r="C380" s="5">
        <v>1</v>
      </c>
      <c r="D380" s="5">
        <v>0</v>
      </c>
      <c r="E380" s="5">
        <v>1</v>
      </c>
      <c r="F380" s="5">
        <v>6</v>
      </c>
      <c r="G380" s="7" t="b">
        <v>1</v>
      </c>
      <c r="H380" s="5">
        <v>1</v>
      </c>
      <c r="I380" s="5">
        <v>2</v>
      </c>
      <c r="J380" s="5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  <c r="Q380" t="s">
        <v>48</v>
      </c>
      <c r="R380" t="s">
        <v>26</v>
      </c>
      <c r="S380" s="8" t="str">
        <f t="shared" si="15"/>
        <v>Normal</v>
      </c>
      <c r="T380" s="8" t="str">
        <f t="shared" si="16"/>
        <v>Low</v>
      </c>
      <c r="U380" s="8" t="str">
        <f t="shared" si="17"/>
        <v>Morning</v>
      </c>
      <c r="V380" s="8"/>
      <c r="W380" s="8"/>
    </row>
    <row r="381" spans="1:23" ht="15.75" thickBot="1" x14ac:dyDescent="0.3">
      <c r="A381" s="5">
        <v>380</v>
      </c>
      <c r="B381" s="6">
        <v>40560</v>
      </c>
      <c r="C381" s="5">
        <v>1</v>
      </c>
      <c r="D381" s="5">
        <v>0</v>
      </c>
      <c r="E381" s="5">
        <v>1</v>
      </c>
      <c r="F381" s="5">
        <v>7</v>
      </c>
      <c r="G381" s="7" t="b">
        <v>1</v>
      </c>
      <c r="H381" s="5">
        <v>1</v>
      </c>
      <c r="I381" s="5">
        <v>2</v>
      </c>
      <c r="J381" s="5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  <c r="Q381" t="s">
        <v>48</v>
      </c>
      <c r="R381" t="s">
        <v>26</v>
      </c>
      <c r="S381" s="8" t="str">
        <f t="shared" si="15"/>
        <v>Rush Hour</v>
      </c>
      <c r="T381" s="8" t="str">
        <f t="shared" si="16"/>
        <v>Low</v>
      </c>
      <c r="U381" s="8" t="str">
        <f t="shared" si="17"/>
        <v>Morning</v>
      </c>
      <c r="V381" s="8"/>
      <c r="W381" s="8"/>
    </row>
    <row r="382" spans="1:23" ht="15.75" thickBot="1" x14ac:dyDescent="0.3">
      <c r="A382" s="5">
        <v>381</v>
      </c>
      <c r="B382" s="6">
        <v>40560</v>
      </c>
      <c r="C382" s="5">
        <v>1</v>
      </c>
      <c r="D382" s="5">
        <v>0</v>
      </c>
      <c r="E382" s="5">
        <v>1</v>
      </c>
      <c r="F382" s="5">
        <v>8</v>
      </c>
      <c r="G382" s="7" t="b">
        <v>1</v>
      </c>
      <c r="H382" s="5">
        <v>1</v>
      </c>
      <c r="I382" s="5">
        <v>2</v>
      </c>
      <c r="J382" s="5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  <c r="Q382" t="s">
        <v>48</v>
      </c>
      <c r="R382" t="s">
        <v>26</v>
      </c>
      <c r="S382" s="8" t="str">
        <f t="shared" si="15"/>
        <v>Rush Hour</v>
      </c>
      <c r="T382" s="8" t="str">
        <f t="shared" si="16"/>
        <v>Low</v>
      </c>
      <c r="U382" s="8" t="str">
        <f t="shared" si="17"/>
        <v>Morning</v>
      </c>
      <c r="V382" s="8"/>
      <c r="W382" s="8"/>
    </row>
    <row r="383" spans="1:23" ht="15.75" thickBot="1" x14ac:dyDescent="0.3">
      <c r="A383" s="5">
        <v>382</v>
      </c>
      <c r="B383" s="6">
        <v>40560</v>
      </c>
      <c r="C383" s="5">
        <v>1</v>
      </c>
      <c r="D383" s="5">
        <v>0</v>
      </c>
      <c r="E383" s="5">
        <v>1</v>
      </c>
      <c r="F383" s="5">
        <v>9</v>
      </c>
      <c r="G383" s="7" t="b">
        <v>1</v>
      </c>
      <c r="H383" s="5">
        <v>1</v>
      </c>
      <c r="I383" s="5">
        <v>2</v>
      </c>
      <c r="J383" s="5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  <c r="Q383" t="s">
        <v>48</v>
      </c>
      <c r="R383" t="s">
        <v>26</v>
      </c>
      <c r="S383" s="8" t="str">
        <f t="shared" si="15"/>
        <v>Rush Hour</v>
      </c>
      <c r="T383" s="8" t="str">
        <f t="shared" si="16"/>
        <v>Low</v>
      </c>
      <c r="U383" s="8" t="str">
        <f t="shared" si="17"/>
        <v>Morning</v>
      </c>
      <c r="V383" s="8"/>
      <c r="W383" s="8"/>
    </row>
    <row r="384" spans="1:23" ht="15.75" thickBot="1" x14ac:dyDescent="0.3">
      <c r="A384" s="5">
        <v>383</v>
      </c>
      <c r="B384" s="6">
        <v>40560</v>
      </c>
      <c r="C384" s="5">
        <v>1</v>
      </c>
      <c r="D384" s="5">
        <v>0</v>
      </c>
      <c r="E384" s="5">
        <v>1</v>
      </c>
      <c r="F384" s="5">
        <v>10</v>
      </c>
      <c r="G384" s="7" t="b">
        <v>1</v>
      </c>
      <c r="H384" s="5">
        <v>1</v>
      </c>
      <c r="I384" s="5">
        <v>2</v>
      </c>
      <c r="J384" s="5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  <c r="Q384" t="s">
        <v>48</v>
      </c>
      <c r="R384" t="s">
        <v>26</v>
      </c>
      <c r="S384" s="8" t="str">
        <f t="shared" si="15"/>
        <v>Normal</v>
      </c>
      <c r="T384" s="8" t="str">
        <f t="shared" si="16"/>
        <v>Medium</v>
      </c>
      <c r="U384" s="8" t="str">
        <f t="shared" si="17"/>
        <v>Morning</v>
      </c>
      <c r="V384" s="8"/>
      <c r="W384" s="8"/>
    </row>
    <row r="385" spans="1:23" ht="15.75" thickBot="1" x14ac:dyDescent="0.3">
      <c r="A385" s="5">
        <v>384</v>
      </c>
      <c r="B385" s="6">
        <v>40560</v>
      </c>
      <c r="C385" s="5">
        <v>1</v>
      </c>
      <c r="D385" s="5">
        <v>0</v>
      </c>
      <c r="E385" s="5">
        <v>1</v>
      </c>
      <c r="F385" s="5">
        <v>11</v>
      </c>
      <c r="G385" s="7" t="b">
        <v>1</v>
      </c>
      <c r="H385" s="5">
        <v>1</v>
      </c>
      <c r="I385" s="5">
        <v>2</v>
      </c>
      <c r="J385" s="5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  <c r="Q385" t="s">
        <v>48</v>
      </c>
      <c r="R385" t="s">
        <v>26</v>
      </c>
      <c r="S385" s="8" t="str">
        <f t="shared" si="15"/>
        <v>Normal</v>
      </c>
      <c r="T385" s="8" t="str">
        <f t="shared" si="16"/>
        <v>Medium</v>
      </c>
      <c r="U385" s="8" t="str">
        <f t="shared" si="17"/>
        <v>Morning</v>
      </c>
      <c r="V385" s="8"/>
      <c r="W385" s="8"/>
    </row>
    <row r="386" spans="1:23" ht="15.75" thickBot="1" x14ac:dyDescent="0.3">
      <c r="A386" s="5">
        <v>385</v>
      </c>
      <c r="B386" s="6">
        <v>40560</v>
      </c>
      <c r="C386" s="5">
        <v>1</v>
      </c>
      <c r="D386" s="5">
        <v>0</v>
      </c>
      <c r="E386" s="5">
        <v>1</v>
      </c>
      <c r="F386" s="5">
        <v>12</v>
      </c>
      <c r="G386" s="7" t="b">
        <v>1</v>
      </c>
      <c r="H386" s="5">
        <v>1</v>
      </c>
      <c r="I386" s="5">
        <v>2</v>
      </c>
      <c r="J386" s="5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  <c r="Q386" t="s">
        <v>48</v>
      </c>
      <c r="R386" t="s">
        <v>26</v>
      </c>
      <c r="S386" s="8" t="str">
        <f t="shared" si="15"/>
        <v>Normal</v>
      </c>
      <c r="T386" s="8" t="str">
        <f t="shared" si="16"/>
        <v>Medium</v>
      </c>
      <c r="U386" s="8" t="str">
        <f t="shared" si="17"/>
        <v>Afternoon</v>
      </c>
      <c r="V386" s="8"/>
      <c r="W386" s="8"/>
    </row>
    <row r="387" spans="1:23" ht="15.75" thickBot="1" x14ac:dyDescent="0.3">
      <c r="A387" s="5">
        <v>386</v>
      </c>
      <c r="B387" s="6">
        <v>40560</v>
      </c>
      <c r="C387" s="5">
        <v>1</v>
      </c>
      <c r="D387" s="5">
        <v>0</v>
      </c>
      <c r="E387" s="5">
        <v>1</v>
      </c>
      <c r="F387" s="5">
        <v>13</v>
      </c>
      <c r="G387" s="7" t="b">
        <v>1</v>
      </c>
      <c r="H387" s="5">
        <v>1</v>
      </c>
      <c r="I387" s="5">
        <v>2</v>
      </c>
      <c r="J387" s="5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  <c r="Q387" t="s">
        <v>48</v>
      </c>
      <c r="R387" t="s">
        <v>26</v>
      </c>
      <c r="S387" s="8" t="str">
        <f t="shared" ref="S387:S450" si="18">IF(OR(AND(F387&gt;=7,F387&lt;=9),AND(F387&gt;=17,F387&lt;=19)),"Rush Hour","Normal")</f>
        <v>Normal</v>
      </c>
      <c r="T387" s="8" t="str">
        <f t="shared" ref="T387:T450" si="19">IF(P387&gt;150,"High",IF(P387&gt;50,"Medium","Low"))</f>
        <v>Medium</v>
      </c>
      <c r="U387" s="8" t="str">
        <f t="shared" ref="U387:U450" si="20">IF(F387&lt;6,"Night", IF(F387&lt;12,"Morning", IF(F387&lt;18,"Afternoon","Evening")))</f>
        <v>Afternoon</v>
      </c>
      <c r="V387" s="8"/>
      <c r="W387" s="8"/>
    </row>
    <row r="388" spans="1:23" ht="15.75" thickBot="1" x14ac:dyDescent="0.3">
      <c r="A388" s="5">
        <v>387</v>
      </c>
      <c r="B388" s="6">
        <v>40560</v>
      </c>
      <c r="C388" s="5">
        <v>1</v>
      </c>
      <c r="D388" s="5">
        <v>0</v>
      </c>
      <c r="E388" s="5">
        <v>1</v>
      </c>
      <c r="F388" s="5">
        <v>14</v>
      </c>
      <c r="G388" s="7" t="b">
        <v>1</v>
      </c>
      <c r="H388" s="5">
        <v>1</v>
      </c>
      <c r="I388" s="5">
        <v>2</v>
      </c>
      <c r="J388" s="5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  <c r="Q388" t="s">
        <v>48</v>
      </c>
      <c r="R388" t="s">
        <v>26</v>
      </c>
      <c r="S388" s="8" t="str">
        <f t="shared" si="18"/>
        <v>Normal</v>
      </c>
      <c r="T388" s="8" t="str">
        <f t="shared" si="19"/>
        <v>Medium</v>
      </c>
      <c r="U388" s="8" t="str">
        <f t="shared" si="20"/>
        <v>Afternoon</v>
      </c>
      <c r="V388" s="8"/>
      <c r="W388" s="8"/>
    </row>
    <row r="389" spans="1:23" ht="15.75" thickBot="1" x14ac:dyDescent="0.3">
      <c r="A389" s="5">
        <v>388</v>
      </c>
      <c r="B389" s="6">
        <v>40560</v>
      </c>
      <c r="C389" s="5">
        <v>1</v>
      </c>
      <c r="D389" s="5">
        <v>0</v>
      </c>
      <c r="E389" s="5">
        <v>1</v>
      </c>
      <c r="F389" s="5">
        <v>15</v>
      </c>
      <c r="G389" s="7" t="b">
        <v>1</v>
      </c>
      <c r="H389" s="5">
        <v>1</v>
      </c>
      <c r="I389" s="5">
        <v>2</v>
      </c>
      <c r="J389" s="5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  <c r="Q389" t="s">
        <v>48</v>
      </c>
      <c r="R389" t="s">
        <v>26</v>
      </c>
      <c r="S389" s="8" t="str">
        <f t="shared" si="18"/>
        <v>Normal</v>
      </c>
      <c r="T389" s="8" t="str">
        <f t="shared" si="19"/>
        <v>Medium</v>
      </c>
      <c r="U389" s="8" t="str">
        <f t="shared" si="20"/>
        <v>Afternoon</v>
      </c>
      <c r="V389" s="8"/>
      <c r="W389" s="8"/>
    </row>
    <row r="390" spans="1:23" ht="15.75" thickBot="1" x14ac:dyDescent="0.3">
      <c r="A390" s="5">
        <v>389</v>
      </c>
      <c r="B390" s="6">
        <v>40560</v>
      </c>
      <c r="C390" s="5">
        <v>1</v>
      </c>
      <c r="D390" s="5">
        <v>0</v>
      </c>
      <c r="E390" s="5">
        <v>1</v>
      </c>
      <c r="F390" s="5">
        <v>16</v>
      </c>
      <c r="G390" s="7" t="b">
        <v>1</v>
      </c>
      <c r="H390" s="5">
        <v>1</v>
      </c>
      <c r="I390" s="5">
        <v>2</v>
      </c>
      <c r="J390" s="5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  <c r="Q390" t="s">
        <v>48</v>
      </c>
      <c r="R390" t="s">
        <v>26</v>
      </c>
      <c r="S390" s="8" t="str">
        <f t="shared" si="18"/>
        <v>Normal</v>
      </c>
      <c r="T390" s="8" t="str">
        <f t="shared" si="19"/>
        <v>Medium</v>
      </c>
      <c r="U390" s="8" t="str">
        <f t="shared" si="20"/>
        <v>Afternoon</v>
      </c>
      <c r="V390" s="8"/>
      <c r="W390" s="8"/>
    </row>
    <row r="391" spans="1:23" ht="15.75" thickBot="1" x14ac:dyDescent="0.3">
      <c r="A391" s="5">
        <v>390</v>
      </c>
      <c r="B391" s="6">
        <v>40560</v>
      </c>
      <c r="C391" s="5">
        <v>1</v>
      </c>
      <c r="D391" s="5">
        <v>0</v>
      </c>
      <c r="E391" s="5">
        <v>1</v>
      </c>
      <c r="F391" s="5">
        <v>17</v>
      </c>
      <c r="G391" s="7" t="b">
        <v>1</v>
      </c>
      <c r="H391" s="5">
        <v>1</v>
      </c>
      <c r="I391" s="5">
        <v>1</v>
      </c>
      <c r="J391" s="5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  <c r="Q391" t="s">
        <v>48</v>
      </c>
      <c r="R391" t="s">
        <v>22</v>
      </c>
      <c r="S391" s="8" t="str">
        <f t="shared" si="18"/>
        <v>Rush Hour</v>
      </c>
      <c r="T391" s="8" t="str">
        <f t="shared" si="19"/>
        <v>Medium</v>
      </c>
      <c r="U391" s="8" t="str">
        <f t="shared" si="20"/>
        <v>Afternoon</v>
      </c>
      <c r="V391" s="8"/>
      <c r="W391" s="8"/>
    </row>
    <row r="392" spans="1:23" ht="15.75" thickBot="1" x14ac:dyDescent="0.3">
      <c r="A392" s="5">
        <v>391</v>
      </c>
      <c r="B392" s="6">
        <v>40560</v>
      </c>
      <c r="C392" s="5">
        <v>1</v>
      </c>
      <c r="D392" s="5">
        <v>0</v>
      </c>
      <c r="E392" s="5">
        <v>1</v>
      </c>
      <c r="F392" s="5">
        <v>18</v>
      </c>
      <c r="G392" s="7" t="b">
        <v>1</v>
      </c>
      <c r="H392" s="5">
        <v>1</v>
      </c>
      <c r="I392" s="5">
        <v>2</v>
      </c>
      <c r="J392" s="5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  <c r="Q392" t="s">
        <v>48</v>
      </c>
      <c r="R392" t="s">
        <v>26</v>
      </c>
      <c r="S392" s="8" t="str">
        <f t="shared" si="18"/>
        <v>Rush Hour</v>
      </c>
      <c r="T392" s="8" t="str">
        <f t="shared" si="19"/>
        <v>Medium</v>
      </c>
      <c r="U392" s="8" t="str">
        <f t="shared" si="20"/>
        <v>Evening</v>
      </c>
      <c r="V392" s="8"/>
      <c r="W392" s="8"/>
    </row>
    <row r="393" spans="1:23" ht="15.75" thickBot="1" x14ac:dyDescent="0.3">
      <c r="A393" s="5">
        <v>392</v>
      </c>
      <c r="B393" s="6">
        <v>40560</v>
      </c>
      <c r="C393" s="5">
        <v>1</v>
      </c>
      <c r="D393" s="5">
        <v>0</v>
      </c>
      <c r="E393" s="5">
        <v>1</v>
      </c>
      <c r="F393" s="5">
        <v>19</v>
      </c>
      <c r="G393" s="7" t="b">
        <v>1</v>
      </c>
      <c r="H393" s="5">
        <v>1</v>
      </c>
      <c r="I393" s="5">
        <v>3</v>
      </c>
      <c r="J393" s="5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  <c r="Q393" t="s">
        <v>48</v>
      </c>
      <c r="R393" t="s">
        <v>40</v>
      </c>
      <c r="S393" s="8" t="str">
        <f t="shared" si="18"/>
        <v>Rush Hour</v>
      </c>
      <c r="T393" s="8" t="str">
        <f t="shared" si="19"/>
        <v>Medium</v>
      </c>
      <c r="U393" s="8" t="str">
        <f t="shared" si="20"/>
        <v>Evening</v>
      </c>
      <c r="V393" s="8"/>
      <c r="W393" s="8"/>
    </row>
    <row r="394" spans="1:23" ht="15.75" thickBot="1" x14ac:dyDescent="0.3">
      <c r="A394" s="5">
        <v>393</v>
      </c>
      <c r="B394" s="6">
        <v>40560</v>
      </c>
      <c r="C394" s="5">
        <v>1</v>
      </c>
      <c r="D394" s="5">
        <v>0</v>
      </c>
      <c r="E394" s="5">
        <v>1</v>
      </c>
      <c r="F394" s="5">
        <v>20</v>
      </c>
      <c r="G394" s="7" t="b">
        <v>1</v>
      </c>
      <c r="H394" s="5">
        <v>1</v>
      </c>
      <c r="I394" s="5">
        <v>3</v>
      </c>
      <c r="J394" s="5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  <c r="Q394" t="s">
        <v>48</v>
      </c>
      <c r="R394" t="s">
        <v>40</v>
      </c>
      <c r="S394" s="8" t="str">
        <f t="shared" si="18"/>
        <v>Normal</v>
      </c>
      <c r="T394" s="8" t="str">
        <f t="shared" si="19"/>
        <v>Low</v>
      </c>
      <c r="U394" s="8" t="str">
        <f t="shared" si="20"/>
        <v>Evening</v>
      </c>
      <c r="V394" s="8"/>
      <c r="W394" s="8"/>
    </row>
    <row r="395" spans="1:23" ht="15.75" thickBot="1" x14ac:dyDescent="0.3">
      <c r="A395" s="5">
        <v>394</v>
      </c>
      <c r="B395" s="6">
        <v>40560</v>
      </c>
      <c r="C395" s="5">
        <v>1</v>
      </c>
      <c r="D395" s="5">
        <v>0</v>
      </c>
      <c r="E395" s="5">
        <v>1</v>
      </c>
      <c r="F395" s="5">
        <v>21</v>
      </c>
      <c r="G395" s="7" t="b">
        <v>1</v>
      </c>
      <c r="H395" s="5">
        <v>1</v>
      </c>
      <c r="I395" s="5">
        <v>3</v>
      </c>
      <c r="J395" s="5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  <c r="Q395" t="s">
        <v>48</v>
      </c>
      <c r="R395" t="s">
        <v>40</v>
      </c>
      <c r="S395" s="8" t="str">
        <f t="shared" si="18"/>
        <v>Normal</v>
      </c>
      <c r="T395" s="8" t="str">
        <f t="shared" si="19"/>
        <v>Low</v>
      </c>
      <c r="U395" s="8" t="str">
        <f t="shared" si="20"/>
        <v>Evening</v>
      </c>
      <c r="V395" s="8"/>
      <c r="W395" s="8"/>
    </row>
    <row r="396" spans="1:23" ht="15.75" thickBot="1" x14ac:dyDescent="0.3">
      <c r="A396" s="5">
        <v>395</v>
      </c>
      <c r="B396" s="6">
        <v>40560</v>
      </c>
      <c r="C396" s="5">
        <v>1</v>
      </c>
      <c r="D396" s="5">
        <v>0</v>
      </c>
      <c r="E396" s="5">
        <v>1</v>
      </c>
      <c r="F396" s="5">
        <v>22</v>
      </c>
      <c r="G396" s="7" t="b">
        <v>1</v>
      </c>
      <c r="H396" s="5">
        <v>1</v>
      </c>
      <c r="I396" s="5">
        <v>3</v>
      </c>
      <c r="J396" s="5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  <c r="Q396" t="s">
        <v>48</v>
      </c>
      <c r="R396" t="s">
        <v>40</v>
      </c>
      <c r="S396" s="8" t="str">
        <f t="shared" si="18"/>
        <v>Normal</v>
      </c>
      <c r="T396" s="8" t="str">
        <f t="shared" si="19"/>
        <v>Low</v>
      </c>
      <c r="U396" s="8" t="str">
        <f t="shared" si="20"/>
        <v>Evening</v>
      </c>
      <c r="V396" s="8"/>
      <c r="W396" s="8"/>
    </row>
    <row r="397" spans="1:23" ht="15.75" thickBot="1" x14ac:dyDescent="0.3">
      <c r="A397" s="5">
        <v>396</v>
      </c>
      <c r="B397" s="6">
        <v>40560</v>
      </c>
      <c r="C397" s="5">
        <v>1</v>
      </c>
      <c r="D397" s="5">
        <v>0</v>
      </c>
      <c r="E397" s="5">
        <v>1</v>
      </c>
      <c r="F397" s="5">
        <v>23</v>
      </c>
      <c r="G397" s="7" t="b">
        <v>1</v>
      </c>
      <c r="H397" s="5">
        <v>1</v>
      </c>
      <c r="I397" s="5">
        <v>3</v>
      </c>
      <c r="J397" s="5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  <c r="Q397" t="s">
        <v>48</v>
      </c>
      <c r="R397" t="s">
        <v>40</v>
      </c>
      <c r="S397" s="8" t="str">
        <f t="shared" si="18"/>
        <v>Normal</v>
      </c>
      <c r="T397" s="8" t="str">
        <f t="shared" si="19"/>
        <v>Low</v>
      </c>
      <c r="U397" s="8" t="str">
        <f t="shared" si="20"/>
        <v>Evening</v>
      </c>
      <c r="V397" s="8"/>
      <c r="W397" s="8"/>
    </row>
    <row r="398" spans="1:23" ht="15.75" thickBot="1" x14ac:dyDescent="0.3">
      <c r="A398" s="5">
        <v>397</v>
      </c>
      <c r="B398" s="6">
        <v>40561</v>
      </c>
      <c r="C398" s="5">
        <v>1</v>
      </c>
      <c r="D398" s="5">
        <v>0</v>
      </c>
      <c r="E398" s="5">
        <v>1</v>
      </c>
      <c r="F398" s="5">
        <v>12</v>
      </c>
      <c r="G398" s="7" t="b">
        <v>0</v>
      </c>
      <c r="H398" s="5">
        <v>2</v>
      </c>
      <c r="I398" s="5">
        <v>2</v>
      </c>
      <c r="J398" s="5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  <c r="Q398" t="s">
        <v>49</v>
      </c>
      <c r="R398" t="s">
        <v>26</v>
      </c>
      <c r="S398" s="8" t="str">
        <f t="shared" si="18"/>
        <v>Normal</v>
      </c>
      <c r="T398" s="8" t="str">
        <f t="shared" si="19"/>
        <v>Low</v>
      </c>
      <c r="U398" s="8" t="str">
        <f t="shared" si="20"/>
        <v>Afternoon</v>
      </c>
      <c r="V398" s="8"/>
      <c r="W398" s="8"/>
    </row>
    <row r="399" spans="1:23" ht="15.75" thickBot="1" x14ac:dyDescent="0.3">
      <c r="A399" s="5">
        <v>398</v>
      </c>
      <c r="B399" s="6">
        <v>40561</v>
      </c>
      <c r="C399" s="5">
        <v>1</v>
      </c>
      <c r="D399" s="5">
        <v>0</v>
      </c>
      <c r="E399" s="5">
        <v>1</v>
      </c>
      <c r="F399" s="5">
        <v>13</v>
      </c>
      <c r="G399" s="7" t="b">
        <v>0</v>
      </c>
      <c r="H399" s="5">
        <v>2</v>
      </c>
      <c r="I399" s="5">
        <v>2</v>
      </c>
      <c r="J399" s="5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  <c r="Q399" t="s">
        <v>49</v>
      </c>
      <c r="R399" t="s">
        <v>26</v>
      </c>
      <c r="S399" s="8" t="str">
        <f t="shared" si="18"/>
        <v>Normal</v>
      </c>
      <c r="T399" s="8" t="str">
        <f t="shared" si="19"/>
        <v>Low</v>
      </c>
      <c r="U399" s="8" t="str">
        <f t="shared" si="20"/>
        <v>Afternoon</v>
      </c>
      <c r="V399" s="8"/>
      <c r="W399" s="8"/>
    </row>
    <row r="400" spans="1:23" ht="15.75" thickBot="1" x14ac:dyDescent="0.3">
      <c r="A400" s="5">
        <v>399</v>
      </c>
      <c r="B400" s="6">
        <v>40561</v>
      </c>
      <c r="C400" s="5">
        <v>1</v>
      </c>
      <c r="D400" s="5">
        <v>0</v>
      </c>
      <c r="E400" s="5">
        <v>1</v>
      </c>
      <c r="F400" s="5">
        <v>14</v>
      </c>
      <c r="G400" s="7" t="b">
        <v>0</v>
      </c>
      <c r="H400" s="5">
        <v>2</v>
      </c>
      <c r="I400" s="5">
        <v>2</v>
      </c>
      <c r="J400" s="5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  <c r="Q400" t="s">
        <v>49</v>
      </c>
      <c r="R400" t="s">
        <v>26</v>
      </c>
      <c r="S400" s="8" t="str">
        <f t="shared" si="18"/>
        <v>Normal</v>
      </c>
      <c r="T400" s="8" t="str">
        <f t="shared" si="19"/>
        <v>Low</v>
      </c>
      <c r="U400" s="8" t="str">
        <f t="shared" si="20"/>
        <v>Afternoon</v>
      </c>
      <c r="V400" s="8"/>
      <c r="W400" s="8"/>
    </row>
    <row r="401" spans="1:23" ht="15.75" thickBot="1" x14ac:dyDescent="0.3">
      <c r="A401" s="5">
        <v>400</v>
      </c>
      <c r="B401" s="6">
        <v>40561</v>
      </c>
      <c r="C401" s="5">
        <v>1</v>
      </c>
      <c r="D401" s="5">
        <v>0</v>
      </c>
      <c r="E401" s="5">
        <v>1</v>
      </c>
      <c r="F401" s="5">
        <v>15</v>
      </c>
      <c r="G401" s="7" t="b">
        <v>0</v>
      </c>
      <c r="H401" s="5">
        <v>2</v>
      </c>
      <c r="I401" s="5">
        <v>2</v>
      </c>
      <c r="J401" s="5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  <c r="Q401" t="s">
        <v>49</v>
      </c>
      <c r="R401" t="s">
        <v>26</v>
      </c>
      <c r="S401" s="8" t="str">
        <f t="shared" si="18"/>
        <v>Normal</v>
      </c>
      <c r="T401" s="8" t="str">
        <f t="shared" si="19"/>
        <v>Low</v>
      </c>
      <c r="U401" s="8" t="str">
        <f t="shared" si="20"/>
        <v>Afternoon</v>
      </c>
      <c r="V401" s="8"/>
      <c r="W401" s="8"/>
    </row>
    <row r="402" spans="1:23" ht="15.75" thickBot="1" x14ac:dyDescent="0.3">
      <c r="A402" s="5">
        <v>401</v>
      </c>
      <c r="B402" s="6">
        <v>40561</v>
      </c>
      <c r="C402" s="5">
        <v>1</v>
      </c>
      <c r="D402" s="5">
        <v>0</v>
      </c>
      <c r="E402" s="5">
        <v>1</v>
      </c>
      <c r="F402" s="5">
        <v>16</v>
      </c>
      <c r="G402" s="7" t="b">
        <v>0</v>
      </c>
      <c r="H402" s="5">
        <v>2</v>
      </c>
      <c r="I402" s="5">
        <v>2</v>
      </c>
      <c r="J402" s="5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  <c r="Q402" t="s">
        <v>49</v>
      </c>
      <c r="R402" t="s">
        <v>26</v>
      </c>
      <c r="S402" s="8" t="str">
        <f t="shared" si="18"/>
        <v>Normal</v>
      </c>
      <c r="T402" s="8" t="str">
        <f t="shared" si="19"/>
        <v>Medium</v>
      </c>
      <c r="U402" s="8" t="str">
        <f t="shared" si="20"/>
        <v>Afternoon</v>
      </c>
      <c r="V402" s="8"/>
      <c r="W402" s="8"/>
    </row>
    <row r="403" spans="1:23" ht="15.75" thickBot="1" x14ac:dyDescent="0.3">
      <c r="A403" s="5">
        <v>402</v>
      </c>
      <c r="B403" s="6">
        <v>40561</v>
      </c>
      <c r="C403" s="5">
        <v>1</v>
      </c>
      <c r="D403" s="5">
        <v>0</v>
      </c>
      <c r="E403" s="5">
        <v>1</v>
      </c>
      <c r="F403" s="5">
        <v>17</v>
      </c>
      <c r="G403" s="7" t="b">
        <v>0</v>
      </c>
      <c r="H403" s="5">
        <v>2</v>
      </c>
      <c r="I403" s="5">
        <v>2</v>
      </c>
      <c r="J403" s="5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  <c r="Q403" t="s">
        <v>49</v>
      </c>
      <c r="R403" t="s">
        <v>26</v>
      </c>
      <c r="S403" s="8" t="str">
        <f t="shared" si="18"/>
        <v>Rush Hour</v>
      </c>
      <c r="T403" s="8" t="str">
        <f t="shared" si="19"/>
        <v>Medium</v>
      </c>
      <c r="U403" s="8" t="str">
        <f t="shared" si="20"/>
        <v>Afternoon</v>
      </c>
      <c r="V403" s="8"/>
      <c r="W403" s="8"/>
    </row>
    <row r="404" spans="1:23" ht="15.75" thickBot="1" x14ac:dyDescent="0.3">
      <c r="A404" s="5">
        <v>403</v>
      </c>
      <c r="B404" s="6">
        <v>40561</v>
      </c>
      <c r="C404" s="5">
        <v>1</v>
      </c>
      <c r="D404" s="5">
        <v>0</v>
      </c>
      <c r="E404" s="5">
        <v>1</v>
      </c>
      <c r="F404" s="5">
        <v>18</v>
      </c>
      <c r="G404" s="7" t="b">
        <v>0</v>
      </c>
      <c r="H404" s="5">
        <v>2</v>
      </c>
      <c r="I404" s="5">
        <v>2</v>
      </c>
      <c r="J404" s="5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  <c r="Q404" t="s">
        <v>49</v>
      </c>
      <c r="R404" t="s">
        <v>26</v>
      </c>
      <c r="S404" s="8" t="str">
        <f t="shared" si="18"/>
        <v>Rush Hour</v>
      </c>
      <c r="T404" s="8" t="str">
        <f t="shared" si="19"/>
        <v>Medium</v>
      </c>
      <c r="U404" s="8" t="str">
        <f t="shared" si="20"/>
        <v>Evening</v>
      </c>
      <c r="V404" s="8"/>
      <c r="W404" s="8"/>
    </row>
    <row r="405" spans="1:23" ht="15.75" thickBot="1" x14ac:dyDescent="0.3">
      <c r="A405" s="5">
        <v>404</v>
      </c>
      <c r="B405" s="6">
        <v>40561</v>
      </c>
      <c r="C405" s="5">
        <v>1</v>
      </c>
      <c r="D405" s="5">
        <v>0</v>
      </c>
      <c r="E405" s="5">
        <v>1</v>
      </c>
      <c r="F405" s="5">
        <v>19</v>
      </c>
      <c r="G405" s="7" t="b">
        <v>0</v>
      </c>
      <c r="H405" s="5">
        <v>2</v>
      </c>
      <c r="I405" s="5">
        <v>2</v>
      </c>
      <c r="J405" s="5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  <c r="Q405" t="s">
        <v>49</v>
      </c>
      <c r="R405" t="s">
        <v>26</v>
      </c>
      <c r="S405" s="8" t="str">
        <f t="shared" si="18"/>
        <v>Rush Hour</v>
      </c>
      <c r="T405" s="8" t="str">
        <f t="shared" si="19"/>
        <v>Medium</v>
      </c>
      <c r="U405" s="8" t="str">
        <f t="shared" si="20"/>
        <v>Evening</v>
      </c>
      <c r="V405" s="8"/>
      <c r="W405" s="8"/>
    </row>
    <row r="406" spans="1:23" ht="15.75" thickBot="1" x14ac:dyDescent="0.3">
      <c r="A406" s="5">
        <v>405</v>
      </c>
      <c r="B406" s="6">
        <v>40561</v>
      </c>
      <c r="C406" s="5">
        <v>1</v>
      </c>
      <c r="D406" s="5">
        <v>0</v>
      </c>
      <c r="E406" s="5">
        <v>1</v>
      </c>
      <c r="F406" s="5">
        <v>20</v>
      </c>
      <c r="G406" s="7" t="b">
        <v>0</v>
      </c>
      <c r="H406" s="5">
        <v>2</v>
      </c>
      <c r="I406" s="5">
        <v>2</v>
      </c>
      <c r="J406" s="5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  <c r="Q406" t="s">
        <v>49</v>
      </c>
      <c r="R406" t="s">
        <v>26</v>
      </c>
      <c r="S406" s="8" t="str">
        <f t="shared" si="18"/>
        <v>Normal</v>
      </c>
      <c r="T406" s="8" t="str">
        <f t="shared" si="19"/>
        <v>Medium</v>
      </c>
      <c r="U406" s="8" t="str">
        <f t="shared" si="20"/>
        <v>Evening</v>
      </c>
      <c r="V406" s="8"/>
      <c r="W406" s="8"/>
    </row>
    <row r="407" spans="1:23" ht="15.75" thickBot="1" x14ac:dyDescent="0.3">
      <c r="A407" s="5">
        <v>406</v>
      </c>
      <c r="B407" s="6">
        <v>40561</v>
      </c>
      <c r="C407" s="5">
        <v>1</v>
      </c>
      <c r="D407" s="5">
        <v>0</v>
      </c>
      <c r="E407" s="5">
        <v>1</v>
      </c>
      <c r="F407" s="5">
        <v>21</v>
      </c>
      <c r="G407" s="7" t="b">
        <v>0</v>
      </c>
      <c r="H407" s="5">
        <v>2</v>
      </c>
      <c r="I407" s="5">
        <v>2</v>
      </c>
      <c r="J407" s="5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  <c r="Q407" t="s">
        <v>49</v>
      </c>
      <c r="R407" t="s">
        <v>26</v>
      </c>
      <c r="S407" s="8" t="str">
        <f t="shared" si="18"/>
        <v>Normal</v>
      </c>
      <c r="T407" s="8" t="str">
        <f t="shared" si="19"/>
        <v>Low</v>
      </c>
      <c r="U407" s="8" t="str">
        <f t="shared" si="20"/>
        <v>Evening</v>
      </c>
      <c r="V407" s="8"/>
      <c r="W407" s="8"/>
    </row>
    <row r="408" spans="1:23" ht="15.75" thickBot="1" x14ac:dyDescent="0.3">
      <c r="A408" s="5">
        <v>407</v>
      </c>
      <c r="B408" s="6">
        <v>40561</v>
      </c>
      <c r="C408" s="5">
        <v>1</v>
      </c>
      <c r="D408" s="5">
        <v>0</v>
      </c>
      <c r="E408" s="5">
        <v>1</v>
      </c>
      <c r="F408" s="5">
        <v>22</v>
      </c>
      <c r="G408" s="7" t="b">
        <v>0</v>
      </c>
      <c r="H408" s="5">
        <v>2</v>
      </c>
      <c r="I408" s="5">
        <v>2</v>
      </c>
      <c r="J408" s="5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  <c r="Q408" t="s">
        <v>49</v>
      </c>
      <c r="R408" t="s">
        <v>26</v>
      </c>
      <c r="S408" s="8" t="str">
        <f t="shared" si="18"/>
        <v>Normal</v>
      </c>
      <c r="T408" s="8" t="str">
        <f t="shared" si="19"/>
        <v>Low</v>
      </c>
      <c r="U408" s="8" t="str">
        <f t="shared" si="20"/>
        <v>Evening</v>
      </c>
      <c r="V408" s="8"/>
      <c r="W408" s="8"/>
    </row>
    <row r="409" spans="1:23" ht="15.75" thickBot="1" x14ac:dyDescent="0.3">
      <c r="A409" s="5">
        <v>408</v>
      </c>
      <c r="B409" s="6">
        <v>40561</v>
      </c>
      <c r="C409" s="5">
        <v>1</v>
      </c>
      <c r="D409" s="5">
        <v>0</v>
      </c>
      <c r="E409" s="5">
        <v>1</v>
      </c>
      <c r="F409" s="5">
        <v>23</v>
      </c>
      <c r="G409" s="7" t="b">
        <v>0</v>
      </c>
      <c r="H409" s="5">
        <v>2</v>
      </c>
      <c r="I409" s="5">
        <v>2</v>
      </c>
      <c r="J409" s="5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  <c r="Q409" t="s">
        <v>49</v>
      </c>
      <c r="R409" t="s">
        <v>26</v>
      </c>
      <c r="S409" s="8" t="str">
        <f t="shared" si="18"/>
        <v>Normal</v>
      </c>
      <c r="T409" s="8" t="str">
        <f t="shared" si="19"/>
        <v>Low</v>
      </c>
      <c r="U409" s="8" t="str">
        <f t="shared" si="20"/>
        <v>Evening</v>
      </c>
      <c r="V409" s="8"/>
      <c r="W409" s="8"/>
    </row>
    <row r="410" spans="1:23" ht="15.75" thickBot="1" x14ac:dyDescent="0.3">
      <c r="A410" s="5">
        <v>409</v>
      </c>
      <c r="B410" s="6">
        <v>40562</v>
      </c>
      <c r="C410" s="5">
        <v>1</v>
      </c>
      <c r="D410" s="5">
        <v>0</v>
      </c>
      <c r="E410" s="5">
        <v>1</v>
      </c>
      <c r="F410" s="5">
        <v>0</v>
      </c>
      <c r="G410" s="7" t="b">
        <v>0</v>
      </c>
      <c r="H410" s="5">
        <v>3</v>
      </c>
      <c r="I410" s="5">
        <v>2</v>
      </c>
      <c r="J410" s="5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  <c r="Q410" t="s">
        <v>50</v>
      </c>
      <c r="R410" t="s">
        <v>26</v>
      </c>
      <c r="S410" s="8" t="str">
        <f t="shared" si="18"/>
        <v>Normal</v>
      </c>
      <c r="T410" s="8" t="str">
        <f t="shared" si="19"/>
        <v>Low</v>
      </c>
      <c r="U410" s="8" t="str">
        <f t="shared" si="20"/>
        <v>Night</v>
      </c>
      <c r="V410" s="8"/>
      <c r="W410" s="8"/>
    </row>
    <row r="411" spans="1:23" ht="15.75" thickBot="1" x14ac:dyDescent="0.3">
      <c r="A411" s="5">
        <v>410</v>
      </c>
      <c r="B411" s="6">
        <v>40562</v>
      </c>
      <c r="C411" s="5">
        <v>1</v>
      </c>
      <c r="D411" s="5">
        <v>0</v>
      </c>
      <c r="E411" s="5">
        <v>1</v>
      </c>
      <c r="F411" s="5">
        <v>1</v>
      </c>
      <c r="G411" s="7" t="b">
        <v>0</v>
      </c>
      <c r="H411" s="5">
        <v>3</v>
      </c>
      <c r="I411" s="5">
        <v>3</v>
      </c>
      <c r="J411" s="5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  <c r="Q411" t="s">
        <v>50</v>
      </c>
      <c r="R411" t="s">
        <v>40</v>
      </c>
      <c r="S411" s="8" t="str">
        <f t="shared" si="18"/>
        <v>Normal</v>
      </c>
      <c r="T411" s="8" t="str">
        <f t="shared" si="19"/>
        <v>Low</v>
      </c>
      <c r="U411" s="8" t="str">
        <f t="shared" si="20"/>
        <v>Night</v>
      </c>
      <c r="V411" s="8"/>
      <c r="W411" s="8"/>
    </row>
    <row r="412" spans="1:23" ht="15.75" thickBot="1" x14ac:dyDescent="0.3">
      <c r="A412" s="5">
        <v>411</v>
      </c>
      <c r="B412" s="6">
        <v>40562</v>
      </c>
      <c r="C412" s="5">
        <v>1</v>
      </c>
      <c r="D412" s="5">
        <v>0</v>
      </c>
      <c r="E412" s="5">
        <v>1</v>
      </c>
      <c r="F412" s="5">
        <v>2</v>
      </c>
      <c r="G412" s="7" t="b">
        <v>0</v>
      </c>
      <c r="H412" s="5">
        <v>3</v>
      </c>
      <c r="I412" s="5">
        <v>3</v>
      </c>
      <c r="J412" s="5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  <c r="Q412" t="s">
        <v>50</v>
      </c>
      <c r="R412" t="s">
        <v>40</v>
      </c>
      <c r="S412" s="8" t="str">
        <f t="shared" si="18"/>
        <v>Normal</v>
      </c>
      <c r="T412" s="8" t="str">
        <f t="shared" si="19"/>
        <v>Low</v>
      </c>
      <c r="U412" s="8" t="str">
        <f t="shared" si="20"/>
        <v>Night</v>
      </c>
      <c r="V412" s="8"/>
      <c r="W412" s="8"/>
    </row>
    <row r="413" spans="1:23" ht="15.75" thickBot="1" x14ac:dyDescent="0.3">
      <c r="A413" s="5">
        <v>412</v>
      </c>
      <c r="B413" s="6">
        <v>40562</v>
      </c>
      <c r="C413" s="5">
        <v>1</v>
      </c>
      <c r="D413" s="5">
        <v>0</v>
      </c>
      <c r="E413" s="5">
        <v>1</v>
      </c>
      <c r="F413" s="5">
        <v>4</v>
      </c>
      <c r="G413" s="7" t="b">
        <v>0</v>
      </c>
      <c r="H413" s="5">
        <v>3</v>
      </c>
      <c r="I413" s="5">
        <v>3</v>
      </c>
      <c r="J413" s="5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  <c r="Q413" t="s">
        <v>50</v>
      </c>
      <c r="R413" t="s">
        <v>40</v>
      </c>
      <c r="S413" s="8" t="str">
        <f t="shared" si="18"/>
        <v>Normal</v>
      </c>
      <c r="T413" s="8" t="str">
        <f t="shared" si="19"/>
        <v>Low</v>
      </c>
      <c r="U413" s="8" t="str">
        <f t="shared" si="20"/>
        <v>Night</v>
      </c>
      <c r="V413" s="8"/>
      <c r="W413" s="8"/>
    </row>
    <row r="414" spans="1:23" ht="15.75" thickBot="1" x14ac:dyDescent="0.3">
      <c r="A414" s="5">
        <v>413</v>
      </c>
      <c r="B414" s="6">
        <v>40562</v>
      </c>
      <c r="C414" s="5">
        <v>1</v>
      </c>
      <c r="D414" s="5">
        <v>0</v>
      </c>
      <c r="E414" s="5">
        <v>1</v>
      </c>
      <c r="F414" s="5">
        <v>5</v>
      </c>
      <c r="G414" s="7" t="b">
        <v>0</v>
      </c>
      <c r="H414" s="5">
        <v>3</v>
      </c>
      <c r="I414" s="5">
        <v>2</v>
      </c>
      <c r="J414" s="5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  <c r="Q414" t="s">
        <v>50</v>
      </c>
      <c r="R414" t="s">
        <v>26</v>
      </c>
      <c r="S414" s="8" t="str">
        <f t="shared" si="18"/>
        <v>Normal</v>
      </c>
      <c r="T414" s="8" t="str">
        <f t="shared" si="19"/>
        <v>Low</v>
      </c>
      <c r="U414" s="8" t="str">
        <f t="shared" si="20"/>
        <v>Night</v>
      </c>
      <c r="V414" s="8"/>
      <c r="W414" s="8"/>
    </row>
    <row r="415" spans="1:23" ht="15.75" thickBot="1" x14ac:dyDescent="0.3">
      <c r="A415" s="5">
        <v>414</v>
      </c>
      <c r="B415" s="6">
        <v>40562</v>
      </c>
      <c r="C415" s="5">
        <v>1</v>
      </c>
      <c r="D415" s="5">
        <v>0</v>
      </c>
      <c r="E415" s="5">
        <v>1</v>
      </c>
      <c r="F415" s="5">
        <v>6</v>
      </c>
      <c r="G415" s="7" t="b">
        <v>0</v>
      </c>
      <c r="H415" s="5">
        <v>3</v>
      </c>
      <c r="I415" s="5">
        <v>2</v>
      </c>
      <c r="J415" s="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  <c r="Q415" t="s">
        <v>50</v>
      </c>
      <c r="R415" t="s">
        <v>26</v>
      </c>
      <c r="S415" s="8" t="str">
        <f t="shared" si="18"/>
        <v>Normal</v>
      </c>
      <c r="T415" s="8" t="str">
        <f t="shared" si="19"/>
        <v>Low</v>
      </c>
      <c r="U415" s="8" t="str">
        <f t="shared" si="20"/>
        <v>Morning</v>
      </c>
      <c r="V415" s="8"/>
      <c r="W415" s="8"/>
    </row>
    <row r="416" spans="1:23" ht="15.75" thickBot="1" x14ac:dyDescent="0.3">
      <c r="A416" s="5">
        <v>415</v>
      </c>
      <c r="B416" s="6">
        <v>40562</v>
      </c>
      <c r="C416" s="5">
        <v>1</v>
      </c>
      <c r="D416" s="5">
        <v>0</v>
      </c>
      <c r="E416" s="5">
        <v>1</v>
      </c>
      <c r="F416" s="5">
        <v>7</v>
      </c>
      <c r="G416" s="7" t="b">
        <v>0</v>
      </c>
      <c r="H416" s="5">
        <v>3</v>
      </c>
      <c r="I416" s="5">
        <v>2</v>
      </c>
      <c r="J416" s="5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  <c r="Q416" t="s">
        <v>50</v>
      </c>
      <c r="R416" t="s">
        <v>26</v>
      </c>
      <c r="S416" s="8" t="str">
        <f t="shared" si="18"/>
        <v>Rush Hour</v>
      </c>
      <c r="T416" s="8" t="str">
        <f t="shared" si="19"/>
        <v>Medium</v>
      </c>
      <c r="U416" s="8" t="str">
        <f t="shared" si="20"/>
        <v>Morning</v>
      </c>
      <c r="V416" s="8"/>
      <c r="W416" s="8"/>
    </row>
    <row r="417" spans="1:23" ht="15.75" thickBot="1" x14ac:dyDescent="0.3">
      <c r="A417" s="5">
        <v>416</v>
      </c>
      <c r="B417" s="6">
        <v>40562</v>
      </c>
      <c r="C417" s="5">
        <v>1</v>
      </c>
      <c r="D417" s="5">
        <v>0</v>
      </c>
      <c r="E417" s="5">
        <v>1</v>
      </c>
      <c r="F417" s="5">
        <v>8</v>
      </c>
      <c r="G417" s="7" t="b">
        <v>0</v>
      </c>
      <c r="H417" s="5">
        <v>3</v>
      </c>
      <c r="I417" s="5">
        <v>2</v>
      </c>
      <c r="J417" s="5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  <c r="Q417" t="s">
        <v>50</v>
      </c>
      <c r="R417" t="s">
        <v>26</v>
      </c>
      <c r="S417" s="8" t="str">
        <f t="shared" si="18"/>
        <v>Rush Hour</v>
      </c>
      <c r="T417" s="8" t="str">
        <f t="shared" si="19"/>
        <v>High</v>
      </c>
      <c r="U417" s="8" t="str">
        <f t="shared" si="20"/>
        <v>Morning</v>
      </c>
      <c r="V417" s="8"/>
      <c r="W417" s="8"/>
    </row>
    <row r="418" spans="1:23" ht="15.75" thickBot="1" x14ac:dyDescent="0.3">
      <c r="A418" s="5">
        <v>417</v>
      </c>
      <c r="B418" s="6">
        <v>40562</v>
      </c>
      <c r="C418" s="5">
        <v>1</v>
      </c>
      <c r="D418" s="5">
        <v>0</v>
      </c>
      <c r="E418" s="5">
        <v>1</v>
      </c>
      <c r="F418" s="5">
        <v>9</v>
      </c>
      <c r="G418" s="7" t="b">
        <v>0</v>
      </c>
      <c r="H418" s="5">
        <v>3</v>
      </c>
      <c r="I418" s="5">
        <v>2</v>
      </c>
      <c r="J418" s="5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  <c r="Q418" t="s">
        <v>50</v>
      </c>
      <c r="R418" t="s">
        <v>26</v>
      </c>
      <c r="S418" s="8" t="str">
        <f t="shared" si="18"/>
        <v>Rush Hour</v>
      </c>
      <c r="T418" s="8" t="str">
        <f t="shared" si="19"/>
        <v>Medium</v>
      </c>
      <c r="U418" s="8" t="str">
        <f t="shared" si="20"/>
        <v>Morning</v>
      </c>
      <c r="V418" s="8"/>
      <c r="W418" s="8"/>
    </row>
    <row r="419" spans="1:23" ht="15.75" thickBot="1" x14ac:dyDescent="0.3">
      <c r="A419" s="5">
        <v>418</v>
      </c>
      <c r="B419" s="6">
        <v>40562</v>
      </c>
      <c r="C419" s="5">
        <v>1</v>
      </c>
      <c r="D419" s="5">
        <v>0</v>
      </c>
      <c r="E419" s="5">
        <v>1</v>
      </c>
      <c r="F419" s="5">
        <v>10</v>
      </c>
      <c r="G419" s="7" t="b">
        <v>0</v>
      </c>
      <c r="H419" s="5">
        <v>3</v>
      </c>
      <c r="I419" s="5">
        <v>2</v>
      </c>
      <c r="J419" s="5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  <c r="Q419" t="s">
        <v>50</v>
      </c>
      <c r="R419" t="s">
        <v>26</v>
      </c>
      <c r="S419" s="8" t="str">
        <f t="shared" si="18"/>
        <v>Normal</v>
      </c>
      <c r="T419" s="8" t="str">
        <f t="shared" si="19"/>
        <v>Low</v>
      </c>
      <c r="U419" s="8" t="str">
        <f t="shared" si="20"/>
        <v>Morning</v>
      </c>
      <c r="V419" s="8"/>
      <c r="W419" s="8"/>
    </row>
    <row r="420" spans="1:23" ht="15.75" thickBot="1" x14ac:dyDescent="0.3">
      <c r="A420" s="5">
        <v>419</v>
      </c>
      <c r="B420" s="6">
        <v>40562</v>
      </c>
      <c r="C420" s="5">
        <v>1</v>
      </c>
      <c r="D420" s="5">
        <v>0</v>
      </c>
      <c r="E420" s="5">
        <v>1</v>
      </c>
      <c r="F420" s="5">
        <v>11</v>
      </c>
      <c r="G420" s="7" t="b">
        <v>0</v>
      </c>
      <c r="H420" s="5">
        <v>3</v>
      </c>
      <c r="I420" s="5">
        <v>2</v>
      </c>
      <c r="J420" s="5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  <c r="Q420" t="s">
        <v>50</v>
      </c>
      <c r="R420" t="s">
        <v>26</v>
      </c>
      <c r="S420" s="8" t="str">
        <f t="shared" si="18"/>
        <v>Normal</v>
      </c>
      <c r="T420" s="8" t="str">
        <f t="shared" si="19"/>
        <v>Medium</v>
      </c>
      <c r="U420" s="8" t="str">
        <f t="shared" si="20"/>
        <v>Morning</v>
      </c>
      <c r="V420" s="8"/>
      <c r="W420" s="8"/>
    </row>
    <row r="421" spans="1:23" ht="15.75" thickBot="1" x14ac:dyDescent="0.3">
      <c r="A421" s="5">
        <v>420</v>
      </c>
      <c r="B421" s="6">
        <v>40562</v>
      </c>
      <c r="C421" s="5">
        <v>1</v>
      </c>
      <c r="D421" s="5">
        <v>0</v>
      </c>
      <c r="E421" s="5">
        <v>1</v>
      </c>
      <c r="F421" s="5">
        <v>12</v>
      </c>
      <c r="G421" s="7" t="b">
        <v>0</v>
      </c>
      <c r="H421" s="5">
        <v>3</v>
      </c>
      <c r="I421" s="5">
        <v>2</v>
      </c>
      <c r="J421" s="5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  <c r="Q421" t="s">
        <v>50</v>
      </c>
      <c r="R421" t="s">
        <v>26</v>
      </c>
      <c r="S421" s="8" t="str">
        <f t="shared" si="18"/>
        <v>Normal</v>
      </c>
      <c r="T421" s="8" t="str">
        <f t="shared" si="19"/>
        <v>Medium</v>
      </c>
      <c r="U421" s="8" t="str">
        <f t="shared" si="20"/>
        <v>Afternoon</v>
      </c>
      <c r="V421" s="8"/>
      <c r="W421" s="8"/>
    </row>
    <row r="422" spans="1:23" ht="15.75" thickBot="1" x14ac:dyDescent="0.3">
      <c r="A422" s="5">
        <v>421</v>
      </c>
      <c r="B422" s="6">
        <v>40562</v>
      </c>
      <c r="C422" s="5">
        <v>1</v>
      </c>
      <c r="D422" s="5">
        <v>0</v>
      </c>
      <c r="E422" s="5">
        <v>1</v>
      </c>
      <c r="F422" s="5">
        <v>13</v>
      </c>
      <c r="G422" s="7" t="b">
        <v>0</v>
      </c>
      <c r="H422" s="5">
        <v>3</v>
      </c>
      <c r="I422" s="5">
        <v>1</v>
      </c>
      <c r="J422" s="5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  <c r="Q422" t="s">
        <v>50</v>
      </c>
      <c r="R422" t="s">
        <v>22</v>
      </c>
      <c r="S422" s="8" t="str">
        <f t="shared" si="18"/>
        <v>Normal</v>
      </c>
      <c r="T422" s="8" t="str">
        <f t="shared" si="19"/>
        <v>Medium</v>
      </c>
      <c r="U422" s="8" t="str">
        <f t="shared" si="20"/>
        <v>Afternoon</v>
      </c>
      <c r="V422" s="8"/>
      <c r="W422" s="8"/>
    </row>
    <row r="423" spans="1:23" ht="15.75" thickBot="1" x14ac:dyDescent="0.3">
      <c r="A423" s="5">
        <v>422</v>
      </c>
      <c r="B423" s="6">
        <v>40562</v>
      </c>
      <c r="C423" s="5">
        <v>1</v>
      </c>
      <c r="D423" s="5">
        <v>0</v>
      </c>
      <c r="E423" s="5">
        <v>1</v>
      </c>
      <c r="F423" s="5">
        <v>14</v>
      </c>
      <c r="G423" s="7" t="b">
        <v>0</v>
      </c>
      <c r="H423" s="5">
        <v>3</v>
      </c>
      <c r="I423" s="5">
        <v>1</v>
      </c>
      <c r="J423" s="5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  <c r="Q423" t="s">
        <v>50</v>
      </c>
      <c r="R423" t="s">
        <v>22</v>
      </c>
      <c r="S423" s="8" t="str">
        <f t="shared" si="18"/>
        <v>Normal</v>
      </c>
      <c r="T423" s="8" t="str">
        <f t="shared" si="19"/>
        <v>Medium</v>
      </c>
      <c r="U423" s="8" t="str">
        <f t="shared" si="20"/>
        <v>Afternoon</v>
      </c>
      <c r="V423" s="8"/>
      <c r="W423" s="8"/>
    </row>
    <row r="424" spans="1:23" ht="15.75" thickBot="1" x14ac:dyDescent="0.3">
      <c r="A424" s="5">
        <v>423</v>
      </c>
      <c r="B424" s="6">
        <v>40562</v>
      </c>
      <c r="C424" s="5">
        <v>1</v>
      </c>
      <c r="D424" s="5">
        <v>0</v>
      </c>
      <c r="E424" s="5">
        <v>1</v>
      </c>
      <c r="F424" s="5">
        <v>15</v>
      </c>
      <c r="G424" s="7" t="b">
        <v>0</v>
      </c>
      <c r="H424" s="5">
        <v>3</v>
      </c>
      <c r="I424" s="5">
        <v>1</v>
      </c>
      <c r="J424" s="5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  <c r="Q424" t="s">
        <v>50</v>
      </c>
      <c r="R424" t="s">
        <v>22</v>
      </c>
      <c r="S424" s="8" t="str">
        <f t="shared" si="18"/>
        <v>Normal</v>
      </c>
      <c r="T424" s="8" t="str">
        <f t="shared" si="19"/>
        <v>Medium</v>
      </c>
      <c r="U424" s="8" t="str">
        <f t="shared" si="20"/>
        <v>Afternoon</v>
      </c>
      <c r="V424" s="8"/>
      <c r="W424" s="8"/>
    </row>
    <row r="425" spans="1:23" ht="15.75" thickBot="1" x14ac:dyDescent="0.3">
      <c r="A425" s="5">
        <v>424</v>
      </c>
      <c r="B425" s="6">
        <v>40562</v>
      </c>
      <c r="C425" s="5">
        <v>1</v>
      </c>
      <c r="D425" s="5">
        <v>0</v>
      </c>
      <c r="E425" s="5">
        <v>1</v>
      </c>
      <c r="F425" s="5">
        <v>16</v>
      </c>
      <c r="G425" s="7" t="b">
        <v>0</v>
      </c>
      <c r="H425" s="5">
        <v>3</v>
      </c>
      <c r="I425" s="5">
        <v>1</v>
      </c>
      <c r="J425" s="5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  <c r="Q425" t="s">
        <v>50</v>
      </c>
      <c r="R425" t="s">
        <v>22</v>
      </c>
      <c r="S425" s="8" t="str">
        <f t="shared" si="18"/>
        <v>Normal</v>
      </c>
      <c r="T425" s="8" t="str">
        <f t="shared" si="19"/>
        <v>Medium</v>
      </c>
      <c r="U425" s="8" t="str">
        <f t="shared" si="20"/>
        <v>Afternoon</v>
      </c>
      <c r="V425" s="8"/>
      <c r="W425" s="8"/>
    </row>
    <row r="426" spans="1:23" ht="15.75" thickBot="1" x14ac:dyDescent="0.3">
      <c r="A426" s="5">
        <v>425</v>
      </c>
      <c r="B426" s="6">
        <v>40562</v>
      </c>
      <c r="C426" s="5">
        <v>1</v>
      </c>
      <c r="D426" s="5">
        <v>0</v>
      </c>
      <c r="E426" s="5">
        <v>1</v>
      </c>
      <c r="F426" s="5">
        <v>17</v>
      </c>
      <c r="G426" s="7" t="b">
        <v>0</v>
      </c>
      <c r="H426" s="5">
        <v>3</v>
      </c>
      <c r="I426" s="5">
        <v>1</v>
      </c>
      <c r="J426" s="5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  <c r="Q426" t="s">
        <v>50</v>
      </c>
      <c r="R426" t="s">
        <v>22</v>
      </c>
      <c r="S426" s="8" t="str">
        <f t="shared" si="18"/>
        <v>Rush Hour</v>
      </c>
      <c r="T426" s="8" t="str">
        <f t="shared" si="19"/>
        <v>High</v>
      </c>
      <c r="U426" s="8" t="str">
        <f t="shared" si="20"/>
        <v>Afternoon</v>
      </c>
      <c r="V426" s="8"/>
      <c r="W426" s="8"/>
    </row>
    <row r="427" spans="1:23" ht="15.75" thickBot="1" x14ac:dyDescent="0.3">
      <c r="A427" s="5">
        <v>426</v>
      </c>
      <c r="B427" s="6">
        <v>40562</v>
      </c>
      <c r="C427" s="5">
        <v>1</v>
      </c>
      <c r="D427" s="5">
        <v>0</v>
      </c>
      <c r="E427" s="5">
        <v>1</v>
      </c>
      <c r="F427" s="5">
        <v>18</v>
      </c>
      <c r="G427" s="7" t="b">
        <v>0</v>
      </c>
      <c r="H427" s="5">
        <v>3</v>
      </c>
      <c r="I427" s="5">
        <v>1</v>
      </c>
      <c r="J427" s="5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  <c r="Q427" t="s">
        <v>50</v>
      </c>
      <c r="R427" t="s">
        <v>22</v>
      </c>
      <c r="S427" s="8" t="str">
        <f t="shared" si="18"/>
        <v>Rush Hour</v>
      </c>
      <c r="T427" s="8" t="str">
        <f t="shared" si="19"/>
        <v>High</v>
      </c>
      <c r="U427" s="8" t="str">
        <f t="shared" si="20"/>
        <v>Evening</v>
      </c>
      <c r="V427" s="8"/>
      <c r="W427" s="8"/>
    </row>
    <row r="428" spans="1:23" ht="15.75" thickBot="1" x14ac:dyDescent="0.3">
      <c r="A428" s="5">
        <v>427</v>
      </c>
      <c r="B428" s="6">
        <v>40562</v>
      </c>
      <c r="C428" s="5">
        <v>1</v>
      </c>
      <c r="D428" s="5">
        <v>0</v>
      </c>
      <c r="E428" s="5">
        <v>1</v>
      </c>
      <c r="F428" s="5">
        <v>19</v>
      </c>
      <c r="G428" s="7" t="b">
        <v>0</v>
      </c>
      <c r="H428" s="5">
        <v>3</v>
      </c>
      <c r="I428" s="5">
        <v>1</v>
      </c>
      <c r="J428" s="5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  <c r="Q428" t="s">
        <v>50</v>
      </c>
      <c r="R428" t="s">
        <v>22</v>
      </c>
      <c r="S428" s="8" t="str">
        <f t="shared" si="18"/>
        <v>Rush Hour</v>
      </c>
      <c r="T428" s="8" t="str">
        <f t="shared" si="19"/>
        <v>Medium</v>
      </c>
      <c r="U428" s="8" t="str">
        <f t="shared" si="20"/>
        <v>Evening</v>
      </c>
      <c r="V428" s="8"/>
      <c r="W428" s="8"/>
    </row>
    <row r="429" spans="1:23" ht="15.75" thickBot="1" x14ac:dyDescent="0.3">
      <c r="A429" s="5">
        <v>428</v>
      </c>
      <c r="B429" s="6">
        <v>40562</v>
      </c>
      <c r="C429" s="5">
        <v>1</v>
      </c>
      <c r="D429" s="5">
        <v>0</v>
      </c>
      <c r="E429" s="5">
        <v>1</v>
      </c>
      <c r="F429" s="5">
        <v>20</v>
      </c>
      <c r="G429" s="7" t="b">
        <v>0</v>
      </c>
      <c r="H429" s="5">
        <v>3</v>
      </c>
      <c r="I429" s="5">
        <v>1</v>
      </c>
      <c r="J429" s="5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  <c r="Q429" t="s">
        <v>50</v>
      </c>
      <c r="R429" t="s">
        <v>22</v>
      </c>
      <c r="S429" s="8" t="str">
        <f t="shared" si="18"/>
        <v>Normal</v>
      </c>
      <c r="T429" s="8" t="str">
        <f t="shared" si="19"/>
        <v>Medium</v>
      </c>
      <c r="U429" s="8" t="str">
        <f t="shared" si="20"/>
        <v>Evening</v>
      </c>
      <c r="V429" s="8"/>
      <c r="W429" s="8"/>
    </row>
    <row r="430" spans="1:23" ht="15.75" thickBot="1" x14ac:dyDescent="0.3">
      <c r="A430" s="5">
        <v>429</v>
      </c>
      <c r="B430" s="6">
        <v>40562</v>
      </c>
      <c r="C430" s="5">
        <v>1</v>
      </c>
      <c r="D430" s="5">
        <v>0</v>
      </c>
      <c r="E430" s="5">
        <v>1</v>
      </c>
      <c r="F430" s="5">
        <v>21</v>
      </c>
      <c r="G430" s="7" t="b">
        <v>0</v>
      </c>
      <c r="H430" s="5">
        <v>3</v>
      </c>
      <c r="I430" s="5">
        <v>1</v>
      </c>
      <c r="J430" s="5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  <c r="Q430" t="s">
        <v>50</v>
      </c>
      <c r="R430" t="s">
        <v>22</v>
      </c>
      <c r="S430" s="8" t="str">
        <f t="shared" si="18"/>
        <v>Normal</v>
      </c>
      <c r="T430" s="8" t="str">
        <f t="shared" si="19"/>
        <v>Medium</v>
      </c>
      <c r="U430" s="8" t="str">
        <f t="shared" si="20"/>
        <v>Evening</v>
      </c>
      <c r="V430" s="8"/>
      <c r="W430" s="8"/>
    </row>
    <row r="431" spans="1:23" ht="15.75" thickBot="1" x14ac:dyDescent="0.3">
      <c r="A431" s="5">
        <v>430</v>
      </c>
      <c r="B431" s="6">
        <v>40562</v>
      </c>
      <c r="C431" s="5">
        <v>1</v>
      </c>
      <c r="D431" s="5">
        <v>0</v>
      </c>
      <c r="E431" s="5">
        <v>1</v>
      </c>
      <c r="F431" s="5">
        <v>22</v>
      </c>
      <c r="G431" s="7" t="b">
        <v>0</v>
      </c>
      <c r="H431" s="5">
        <v>3</v>
      </c>
      <c r="I431" s="5">
        <v>1</v>
      </c>
      <c r="J431" s="5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  <c r="Q431" t="s">
        <v>50</v>
      </c>
      <c r="R431" t="s">
        <v>22</v>
      </c>
      <c r="S431" s="8" t="str">
        <f t="shared" si="18"/>
        <v>Normal</v>
      </c>
      <c r="T431" s="8" t="str">
        <f t="shared" si="19"/>
        <v>Medium</v>
      </c>
      <c r="U431" s="8" t="str">
        <f t="shared" si="20"/>
        <v>Evening</v>
      </c>
      <c r="V431" s="8"/>
      <c r="W431" s="8"/>
    </row>
    <row r="432" spans="1:23" ht="15.75" thickBot="1" x14ac:dyDescent="0.3">
      <c r="A432" s="5">
        <v>431</v>
      </c>
      <c r="B432" s="6">
        <v>40562</v>
      </c>
      <c r="C432" s="5">
        <v>1</v>
      </c>
      <c r="D432" s="5">
        <v>0</v>
      </c>
      <c r="E432" s="5">
        <v>1</v>
      </c>
      <c r="F432" s="5">
        <v>23</v>
      </c>
      <c r="G432" s="7" t="b">
        <v>0</v>
      </c>
      <c r="H432" s="5">
        <v>3</v>
      </c>
      <c r="I432" s="5">
        <v>1</v>
      </c>
      <c r="J432" s="5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  <c r="Q432" t="s">
        <v>50</v>
      </c>
      <c r="R432" t="s">
        <v>22</v>
      </c>
      <c r="S432" s="8" t="str">
        <f t="shared" si="18"/>
        <v>Normal</v>
      </c>
      <c r="T432" s="8" t="str">
        <f t="shared" si="19"/>
        <v>Low</v>
      </c>
      <c r="U432" s="8" t="str">
        <f t="shared" si="20"/>
        <v>Evening</v>
      </c>
      <c r="V432" s="8"/>
      <c r="W432" s="8"/>
    </row>
    <row r="433" spans="1:23" ht="15.75" thickBot="1" x14ac:dyDescent="0.3">
      <c r="A433" s="5">
        <v>432</v>
      </c>
      <c r="B433" s="6">
        <v>40563</v>
      </c>
      <c r="C433" s="5">
        <v>1</v>
      </c>
      <c r="D433" s="5">
        <v>0</v>
      </c>
      <c r="E433" s="5">
        <v>1</v>
      </c>
      <c r="F433" s="5">
        <v>0</v>
      </c>
      <c r="G433" s="7" t="b">
        <v>0</v>
      </c>
      <c r="H433" s="5">
        <v>4</v>
      </c>
      <c r="I433" s="5">
        <v>1</v>
      </c>
      <c r="J433" s="5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  <c r="Q433" t="s">
        <v>51</v>
      </c>
      <c r="R433" t="s">
        <v>22</v>
      </c>
      <c r="S433" s="8" t="str">
        <f t="shared" si="18"/>
        <v>Normal</v>
      </c>
      <c r="T433" s="8" t="str">
        <f t="shared" si="19"/>
        <v>Low</v>
      </c>
      <c r="U433" s="8" t="str">
        <f t="shared" si="20"/>
        <v>Night</v>
      </c>
      <c r="V433" s="8"/>
      <c r="W433" s="8"/>
    </row>
    <row r="434" spans="1:23" ht="15.75" thickBot="1" x14ac:dyDescent="0.3">
      <c r="A434" s="5">
        <v>433</v>
      </c>
      <c r="B434" s="6">
        <v>40563</v>
      </c>
      <c r="C434" s="5">
        <v>1</v>
      </c>
      <c r="D434" s="5">
        <v>0</v>
      </c>
      <c r="E434" s="5">
        <v>1</v>
      </c>
      <c r="F434" s="5">
        <v>1</v>
      </c>
      <c r="G434" s="7" t="b">
        <v>0</v>
      </c>
      <c r="H434" s="5">
        <v>4</v>
      </c>
      <c r="I434" s="5">
        <v>1</v>
      </c>
      <c r="J434" s="5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  <c r="Q434" t="s">
        <v>51</v>
      </c>
      <c r="R434" t="s">
        <v>22</v>
      </c>
      <c r="S434" s="8" t="str">
        <f t="shared" si="18"/>
        <v>Normal</v>
      </c>
      <c r="T434" s="8" t="str">
        <f t="shared" si="19"/>
        <v>Low</v>
      </c>
      <c r="U434" s="8" t="str">
        <f t="shared" si="20"/>
        <v>Night</v>
      </c>
      <c r="V434" s="8"/>
      <c r="W434" s="8"/>
    </row>
    <row r="435" spans="1:23" ht="15.75" thickBot="1" x14ac:dyDescent="0.3">
      <c r="A435" s="5">
        <v>434</v>
      </c>
      <c r="B435" s="6">
        <v>40563</v>
      </c>
      <c r="C435" s="5">
        <v>1</v>
      </c>
      <c r="D435" s="5">
        <v>0</v>
      </c>
      <c r="E435" s="5">
        <v>1</v>
      </c>
      <c r="F435" s="5">
        <v>2</v>
      </c>
      <c r="G435" s="7" t="b">
        <v>0</v>
      </c>
      <c r="H435" s="5">
        <v>4</v>
      </c>
      <c r="I435" s="5">
        <v>1</v>
      </c>
      <c r="J435" s="5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  <c r="Q435" t="s">
        <v>51</v>
      </c>
      <c r="R435" t="s">
        <v>22</v>
      </c>
      <c r="S435" s="8" t="str">
        <f t="shared" si="18"/>
        <v>Normal</v>
      </c>
      <c r="T435" s="8" t="str">
        <f t="shared" si="19"/>
        <v>Low</v>
      </c>
      <c r="U435" s="8" t="str">
        <f t="shared" si="20"/>
        <v>Night</v>
      </c>
      <c r="V435" s="8"/>
      <c r="W435" s="8"/>
    </row>
    <row r="436" spans="1:23" ht="15.75" thickBot="1" x14ac:dyDescent="0.3">
      <c r="A436" s="5">
        <v>435</v>
      </c>
      <c r="B436" s="6">
        <v>40563</v>
      </c>
      <c r="C436" s="5">
        <v>1</v>
      </c>
      <c r="D436" s="5">
        <v>0</v>
      </c>
      <c r="E436" s="5">
        <v>1</v>
      </c>
      <c r="F436" s="5">
        <v>3</v>
      </c>
      <c r="G436" s="7" t="b">
        <v>0</v>
      </c>
      <c r="H436" s="5">
        <v>4</v>
      </c>
      <c r="I436" s="5">
        <v>1</v>
      </c>
      <c r="J436" s="5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  <c r="Q436" t="s">
        <v>51</v>
      </c>
      <c r="R436" t="s">
        <v>22</v>
      </c>
      <c r="S436" s="8" t="str">
        <f t="shared" si="18"/>
        <v>Normal</v>
      </c>
      <c r="T436" s="8" t="str">
        <f t="shared" si="19"/>
        <v>Low</v>
      </c>
      <c r="U436" s="8" t="str">
        <f t="shared" si="20"/>
        <v>Night</v>
      </c>
      <c r="V436" s="8"/>
      <c r="W436" s="8"/>
    </row>
    <row r="437" spans="1:23" ht="15.75" thickBot="1" x14ac:dyDescent="0.3">
      <c r="A437" s="5">
        <v>436</v>
      </c>
      <c r="B437" s="6">
        <v>40563</v>
      </c>
      <c r="C437" s="5">
        <v>1</v>
      </c>
      <c r="D437" s="5">
        <v>0</v>
      </c>
      <c r="E437" s="5">
        <v>1</v>
      </c>
      <c r="F437" s="5">
        <v>4</v>
      </c>
      <c r="G437" s="7" t="b">
        <v>0</v>
      </c>
      <c r="H437" s="5">
        <v>4</v>
      </c>
      <c r="I437" s="5">
        <v>1</v>
      </c>
      <c r="J437" s="5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  <c r="Q437" t="s">
        <v>51</v>
      </c>
      <c r="R437" t="s">
        <v>22</v>
      </c>
      <c r="S437" s="8" t="str">
        <f t="shared" si="18"/>
        <v>Normal</v>
      </c>
      <c r="T437" s="8" t="str">
        <f t="shared" si="19"/>
        <v>Low</v>
      </c>
      <c r="U437" s="8" t="str">
        <f t="shared" si="20"/>
        <v>Night</v>
      </c>
      <c r="V437" s="8"/>
      <c r="W437" s="8"/>
    </row>
    <row r="438" spans="1:23" ht="15.75" thickBot="1" x14ac:dyDescent="0.3">
      <c r="A438" s="5">
        <v>437</v>
      </c>
      <c r="B438" s="6">
        <v>40563</v>
      </c>
      <c r="C438" s="5">
        <v>1</v>
      </c>
      <c r="D438" s="5">
        <v>0</v>
      </c>
      <c r="E438" s="5">
        <v>1</v>
      </c>
      <c r="F438" s="5">
        <v>5</v>
      </c>
      <c r="G438" s="7" t="b">
        <v>0</v>
      </c>
      <c r="H438" s="5">
        <v>4</v>
      </c>
      <c r="I438" s="5">
        <v>1</v>
      </c>
      <c r="J438" s="5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  <c r="Q438" t="s">
        <v>51</v>
      </c>
      <c r="R438" t="s">
        <v>22</v>
      </c>
      <c r="S438" s="8" t="str">
        <f t="shared" si="18"/>
        <v>Normal</v>
      </c>
      <c r="T438" s="8" t="str">
        <f t="shared" si="19"/>
        <v>Low</v>
      </c>
      <c r="U438" s="8" t="str">
        <f t="shared" si="20"/>
        <v>Night</v>
      </c>
      <c r="V438" s="8"/>
      <c r="W438" s="8"/>
    </row>
    <row r="439" spans="1:23" ht="15.75" thickBot="1" x14ac:dyDescent="0.3">
      <c r="A439" s="5">
        <v>438</v>
      </c>
      <c r="B439" s="6">
        <v>40563</v>
      </c>
      <c r="C439" s="5">
        <v>1</v>
      </c>
      <c r="D439" s="5">
        <v>0</v>
      </c>
      <c r="E439" s="5">
        <v>1</v>
      </c>
      <c r="F439" s="5">
        <v>6</v>
      </c>
      <c r="G439" s="7" t="b">
        <v>0</v>
      </c>
      <c r="H439" s="5">
        <v>4</v>
      </c>
      <c r="I439" s="5">
        <v>1</v>
      </c>
      <c r="J439" s="5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  <c r="Q439" t="s">
        <v>51</v>
      </c>
      <c r="R439" t="s">
        <v>22</v>
      </c>
      <c r="S439" s="8" t="str">
        <f t="shared" si="18"/>
        <v>Normal</v>
      </c>
      <c r="T439" s="8" t="str">
        <f t="shared" si="19"/>
        <v>Low</v>
      </c>
      <c r="U439" s="8" t="str">
        <f t="shared" si="20"/>
        <v>Morning</v>
      </c>
      <c r="V439" s="8"/>
      <c r="W439" s="8"/>
    </row>
    <row r="440" spans="1:23" ht="15.75" thickBot="1" x14ac:dyDescent="0.3">
      <c r="A440" s="5">
        <v>439</v>
      </c>
      <c r="B440" s="6">
        <v>40563</v>
      </c>
      <c r="C440" s="5">
        <v>1</v>
      </c>
      <c r="D440" s="5">
        <v>0</v>
      </c>
      <c r="E440" s="5">
        <v>1</v>
      </c>
      <c r="F440" s="5">
        <v>7</v>
      </c>
      <c r="G440" s="7" t="b">
        <v>0</v>
      </c>
      <c r="H440" s="5">
        <v>4</v>
      </c>
      <c r="I440" s="5">
        <v>1</v>
      </c>
      <c r="J440" s="5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  <c r="Q440" t="s">
        <v>51</v>
      </c>
      <c r="R440" t="s">
        <v>22</v>
      </c>
      <c r="S440" s="8" t="str">
        <f t="shared" si="18"/>
        <v>Rush Hour</v>
      </c>
      <c r="T440" s="8" t="str">
        <f t="shared" si="19"/>
        <v>Medium</v>
      </c>
      <c r="U440" s="8" t="str">
        <f t="shared" si="20"/>
        <v>Morning</v>
      </c>
      <c r="V440" s="8"/>
      <c r="W440" s="8"/>
    </row>
    <row r="441" spans="1:23" ht="15.75" thickBot="1" x14ac:dyDescent="0.3">
      <c r="A441" s="5">
        <v>440</v>
      </c>
      <c r="B441" s="6">
        <v>40563</v>
      </c>
      <c r="C441" s="5">
        <v>1</v>
      </c>
      <c r="D441" s="5">
        <v>0</v>
      </c>
      <c r="E441" s="5">
        <v>1</v>
      </c>
      <c r="F441" s="5">
        <v>8</v>
      </c>
      <c r="G441" s="7" t="b">
        <v>0</v>
      </c>
      <c r="H441" s="5">
        <v>4</v>
      </c>
      <c r="I441" s="5">
        <v>1</v>
      </c>
      <c r="J441" s="5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  <c r="Q441" t="s">
        <v>51</v>
      </c>
      <c r="R441" t="s">
        <v>22</v>
      </c>
      <c r="S441" s="8" t="str">
        <f t="shared" si="18"/>
        <v>Rush Hour</v>
      </c>
      <c r="T441" s="8" t="str">
        <f t="shared" si="19"/>
        <v>High</v>
      </c>
      <c r="U441" s="8" t="str">
        <f t="shared" si="20"/>
        <v>Morning</v>
      </c>
      <c r="V441" s="8"/>
      <c r="W441" s="8"/>
    </row>
    <row r="442" spans="1:23" ht="15.75" thickBot="1" x14ac:dyDescent="0.3">
      <c r="A442" s="5">
        <v>441</v>
      </c>
      <c r="B442" s="6">
        <v>40563</v>
      </c>
      <c r="C442" s="5">
        <v>1</v>
      </c>
      <c r="D442" s="5">
        <v>0</v>
      </c>
      <c r="E442" s="5">
        <v>1</v>
      </c>
      <c r="F442" s="5">
        <v>9</v>
      </c>
      <c r="G442" s="7" t="b">
        <v>0</v>
      </c>
      <c r="H442" s="5">
        <v>4</v>
      </c>
      <c r="I442" s="5">
        <v>2</v>
      </c>
      <c r="J442" s="5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  <c r="Q442" t="s">
        <v>51</v>
      </c>
      <c r="R442" t="s">
        <v>26</v>
      </c>
      <c r="S442" s="8" t="str">
        <f t="shared" si="18"/>
        <v>Rush Hour</v>
      </c>
      <c r="T442" s="8" t="str">
        <f t="shared" si="19"/>
        <v>Medium</v>
      </c>
      <c r="U442" s="8" t="str">
        <f t="shared" si="20"/>
        <v>Morning</v>
      </c>
      <c r="V442" s="8"/>
      <c r="W442" s="8"/>
    </row>
    <row r="443" spans="1:23" ht="15.75" thickBot="1" x14ac:dyDescent="0.3">
      <c r="A443" s="5">
        <v>442</v>
      </c>
      <c r="B443" s="6">
        <v>40563</v>
      </c>
      <c r="C443" s="5">
        <v>1</v>
      </c>
      <c r="D443" s="5">
        <v>0</v>
      </c>
      <c r="E443" s="5">
        <v>1</v>
      </c>
      <c r="F443" s="5">
        <v>10</v>
      </c>
      <c r="G443" s="7" t="b">
        <v>0</v>
      </c>
      <c r="H443" s="5">
        <v>4</v>
      </c>
      <c r="I443" s="5">
        <v>1</v>
      </c>
      <c r="J443" s="5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  <c r="Q443" t="s">
        <v>51</v>
      </c>
      <c r="R443" t="s">
        <v>22</v>
      </c>
      <c r="S443" s="8" t="str">
        <f t="shared" si="18"/>
        <v>Normal</v>
      </c>
      <c r="T443" s="8" t="str">
        <f t="shared" si="19"/>
        <v>Medium</v>
      </c>
      <c r="U443" s="8" t="str">
        <f t="shared" si="20"/>
        <v>Morning</v>
      </c>
      <c r="V443" s="8"/>
      <c r="W443" s="8"/>
    </row>
    <row r="444" spans="1:23" ht="15.75" thickBot="1" x14ac:dyDescent="0.3">
      <c r="A444" s="5">
        <v>443</v>
      </c>
      <c r="B444" s="6">
        <v>40563</v>
      </c>
      <c r="C444" s="5">
        <v>1</v>
      </c>
      <c r="D444" s="5">
        <v>0</v>
      </c>
      <c r="E444" s="5">
        <v>1</v>
      </c>
      <c r="F444" s="5">
        <v>11</v>
      </c>
      <c r="G444" s="7" t="b">
        <v>0</v>
      </c>
      <c r="H444" s="5">
        <v>4</v>
      </c>
      <c r="I444" s="5">
        <v>2</v>
      </c>
      <c r="J444" s="5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  <c r="Q444" t="s">
        <v>51</v>
      </c>
      <c r="R444" t="s">
        <v>26</v>
      </c>
      <c r="S444" s="8" t="str">
        <f t="shared" si="18"/>
        <v>Normal</v>
      </c>
      <c r="T444" s="8" t="str">
        <f t="shared" si="19"/>
        <v>Medium</v>
      </c>
      <c r="U444" s="8" t="str">
        <f t="shared" si="20"/>
        <v>Morning</v>
      </c>
      <c r="V444" s="8"/>
      <c r="W444" s="8"/>
    </row>
    <row r="445" spans="1:23" ht="15.75" thickBot="1" x14ac:dyDescent="0.3">
      <c r="A445" s="5">
        <v>444</v>
      </c>
      <c r="B445" s="6">
        <v>40563</v>
      </c>
      <c r="C445" s="5">
        <v>1</v>
      </c>
      <c r="D445" s="5">
        <v>0</v>
      </c>
      <c r="E445" s="5">
        <v>1</v>
      </c>
      <c r="F445" s="5">
        <v>12</v>
      </c>
      <c r="G445" s="7" t="b">
        <v>0</v>
      </c>
      <c r="H445" s="5">
        <v>4</v>
      </c>
      <c r="I445" s="5">
        <v>2</v>
      </c>
      <c r="J445" s="5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  <c r="Q445" t="s">
        <v>51</v>
      </c>
      <c r="R445" t="s">
        <v>26</v>
      </c>
      <c r="S445" s="8" t="str">
        <f t="shared" si="18"/>
        <v>Normal</v>
      </c>
      <c r="T445" s="8" t="str">
        <f t="shared" si="19"/>
        <v>Medium</v>
      </c>
      <c r="U445" s="8" t="str">
        <f t="shared" si="20"/>
        <v>Afternoon</v>
      </c>
      <c r="V445" s="8"/>
      <c r="W445" s="8"/>
    </row>
    <row r="446" spans="1:23" ht="15.75" thickBot="1" x14ac:dyDescent="0.3">
      <c r="A446" s="5">
        <v>445</v>
      </c>
      <c r="B446" s="6">
        <v>40563</v>
      </c>
      <c r="C446" s="5">
        <v>1</v>
      </c>
      <c r="D446" s="5">
        <v>0</v>
      </c>
      <c r="E446" s="5">
        <v>1</v>
      </c>
      <c r="F446" s="5">
        <v>13</v>
      </c>
      <c r="G446" s="7" t="b">
        <v>0</v>
      </c>
      <c r="H446" s="5">
        <v>4</v>
      </c>
      <c r="I446" s="5">
        <v>2</v>
      </c>
      <c r="J446" s="5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  <c r="Q446" t="s">
        <v>51</v>
      </c>
      <c r="R446" t="s">
        <v>26</v>
      </c>
      <c r="S446" s="8" t="str">
        <f t="shared" si="18"/>
        <v>Normal</v>
      </c>
      <c r="T446" s="8" t="str">
        <f t="shared" si="19"/>
        <v>Medium</v>
      </c>
      <c r="U446" s="8" t="str">
        <f t="shared" si="20"/>
        <v>Afternoon</v>
      </c>
      <c r="V446" s="8"/>
      <c r="W446" s="8"/>
    </row>
    <row r="447" spans="1:23" ht="15.75" thickBot="1" x14ac:dyDescent="0.3">
      <c r="A447" s="5">
        <v>446</v>
      </c>
      <c r="B447" s="6">
        <v>40563</v>
      </c>
      <c r="C447" s="5">
        <v>1</v>
      </c>
      <c r="D447" s="5">
        <v>0</v>
      </c>
      <c r="E447" s="5">
        <v>1</v>
      </c>
      <c r="F447" s="5">
        <v>14</v>
      </c>
      <c r="G447" s="7" t="b">
        <v>0</v>
      </c>
      <c r="H447" s="5">
        <v>4</v>
      </c>
      <c r="I447" s="5">
        <v>2</v>
      </c>
      <c r="J447" s="5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  <c r="Q447" t="s">
        <v>51</v>
      </c>
      <c r="R447" t="s">
        <v>26</v>
      </c>
      <c r="S447" s="8" t="str">
        <f t="shared" si="18"/>
        <v>Normal</v>
      </c>
      <c r="T447" s="8" t="str">
        <f t="shared" si="19"/>
        <v>Medium</v>
      </c>
      <c r="U447" s="8" t="str">
        <f t="shared" si="20"/>
        <v>Afternoon</v>
      </c>
      <c r="V447" s="8"/>
      <c r="W447" s="8"/>
    </row>
    <row r="448" spans="1:23" ht="15.75" thickBot="1" x14ac:dyDescent="0.3">
      <c r="A448" s="5">
        <v>447</v>
      </c>
      <c r="B448" s="6">
        <v>40563</v>
      </c>
      <c r="C448" s="5">
        <v>1</v>
      </c>
      <c r="D448" s="5">
        <v>0</v>
      </c>
      <c r="E448" s="5">
        <v>1</v>
      </c>
      <c r="F448" s="5">
        <v>15</v>
      </c>
      <c r="G448" s="7" t="b">
        <v>0</v>
      </c>
      <c r="H448" s="5">
        <v>4</v>
      </c>
      <c r="I448" s="5">
        <v>2</v>
      </c>
      <c r="J448" s="5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  <c r="Q448" t="s">
        <v>51</v>
      </c>
      <c r="R448" t="s">
        <v>26</v>
      </c>
      <c r="S448" s="8" t="str">
        <f t="shared" si="18"/>
        <v>Normal</v>
      </c>
      <c r="T448" s="8" t="str">
        <f t="shared" si="19"/>
        <v>Medium</v>
      </c>
      <c r="U448" s="8" t="str">
        <f t="shared" si="20"/>
        <v>Afternoon</v>
      </c>
      <c r="V448" s="8"/>
      <c r="W448" s="8"/>
    </row>
    <row r="449" spans="1:23" ht="15.75" thickBot="1" x14ac:dyDescent="0.3">
      <c r="A449" s="5">
        <v>448</v>
      </c>
      <c r="B449" s="6">
        <v>40563</v>
      </c>
      <c r="C449" s="5">
        <v>1</v>
      </c>
      <c r="D449" s="5">
        <v>0</v>
      </c>
      <c r="E449" s="5">
        <v>1</v>
      </c>
      <c r="F449" s="5">
        <v>16</v>
      </c>
      <c r="G449" s="7" t="b">
        <v>0</v>
      </c>
      <c r="H449" s="5">
        <v>4</v>
      </c>
      <c r="I449" s="5">
        <v>2</v>
      </c>
      <c r="J449" s="5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  <c r="Q449" t="s">
        <v>51</v>
      </c>
      <c r="R449" t="s">
        <v>26</v>
      </c>
      <c r="S449" s="8" t="str">
        <f t="shared" si="18"/>
        <v>Normal</v>
      </c>
      <c r="T449" s="8" t="str">
        <f t="shared" si="19"/>
        <v>Medium</v>
      </c>
      <c r="U449" s="8" t="str">
        <f t="shared" si="20"/>
        <v>Afternoon</v>
      </c>
      <c r="V449" s="8"/>
      <c r="W449" s="8"/>
    </row>
    <row r="450" spans="1:23" ht="15.75" thickBot="1" x14ac:dyDescent="0.3">
      <c r="A450" s="5">
        <v>449</v>
      </c>
      <c r="B450" s="6">
        <v>40563</v>
      </c>
      <c r="C450" s="5">
        <v>1</v>
      </c>
      <c r="D450" s="5">
        <v>0</v>
      </c>
      <c r="E450" s="5">
        <v>1</v>
      </c>
      <c r="F450" s="5">
        <v>17</v>
      </c>
      <c r="G450" s="7" t="b">
        <v>0</v>
      </c>
      <c r="H450" s="5">
        <v>4</v>
      </c>
      <c r="I450" s="5">
        <v>2</v>
      </c>
      <c r="J450" s="5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  <c r="Q450" t="s">
        <v>51</v>
      </c>
      <c r="R450" t="s">
        <v>26</v>
      </c>
      <c r="S450" s="8" t="str">
        <f t="shared" si="18"/>
        <v>Rush Hour</v>
      </c>
      <c r="T450" s="8" t="str">
        <f t="shared" si="19"/>
        <v>High</v>
      </c>
      <c r="U450" s="8" t="str">
        <f t="shared" si="20"/>
        <v>Afternoon</v>
      </c>
      <c r="V450" s="8"/>
      <c r="W450" s="8"/>
    </row>
    <row r="451" spans="1:23" ht="15.75" thickBot="1" x14ac:dyDescent="0.3">
      <c r="A451" s="5">
        <v>450</v>
      </c>
      <c r="B451" s="6">
        <v>40563</v>
      </c>
      <c r="C451" s="5">
        <v>1</v>
      </c>
      <c r="D451" s="5">
        <v>0</v>
      </c>
      <c r="E451" s="5">
        <v>1</v>
      </c>
      <c r="F451" s="5">
        <v>18</v>
      </c>
      <c r="G451" s="7" t="b">
        <v>0</v>
      </c>
      <c r="H451" s="5">
        <v>4</v>
      </c>
      <c r="I451" s="5">
        <v>2</v>
      </c>
      <c r="J451" s="5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  <c r="Q451" t="s">
        <v>51</v>
      </c>
      <c r="R451" t="s">
        <v>26</v>
      </c>
      <c r="S451" s="8" t="str">
        <f t="shared" ref="S451:S514" si="21">IF(OR(AND(F451&gt;=7,F451&lt;=9),AND(F451&gt;=17,F451&lt;=19)),"Rush Hour","Normal")</f>
        <v>Rush Hour</v>
      </c>
      <c r="T451" s="8" t="str">
        <f t="shared" ref="T451:T514" si="22">IF(P451&gt;150,"High",IF(P451&gt;50,"Medium","Low"))</f>
        <v>High</v>
      </c>
      <c r="U451" s="8" t="str">
        <f t="shared" ref="U451:U514" si="23">IF(F451&lt;6,"Night", IF(F451&lt;12,"Morning", IF(F451&lt;18,"Afternoon","Evening")))</f>
        <v>Evening</v>
      </c>
      <c r="V451" s="8"/>
      <c r="W451" s="8"/>
    </row>
    <row r="452" spans="1:23" ht="15.75" thickBot="1" x14ac:dyDescent="0.3">
      <c r="A452" s="5">
        <v>451</v>
      </c>
      <c r="B452" s="6">
        <v>40563</v>
      </c>
      <c r="C452" s="5">
        <v>1</v>
      </c>
      <c r="D452" s="5">
        <v>0</v>
      </c>
      <c r="E452" s="5">
        <v>1</v>
      </c>
      <c r="F452" s="5">
        <v>19</v>
      </c>
      <c r="G452" s="7" t="b">
        <v>0</v>
      </c>
      <c r="H452" s="5">
        <v>4</v>
      </c>
      <c r="I452" s="5">
        <v>1</v>
      </c>
      <c r="J452" s="5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  <c r="Q452" t="s">
        <v>51</v>
      </c>
      <c r="R452" t="s">
        <v>22</v>
      </c>
      <c r="S452" s="8" t="str">
        <f t="shared" si="21"/>
        <v>Rush Hour</v>
      </c>
      <c r="T452" s="8" t="str">
        <f t="shared" si="22"/>
        <v>High</v>
      </c>
      <c r="U452" s="8" t="str">
        <f t="shared" si="23"/>
        <v>Evening</v>
      </c>
      <c r="V452" s="8"/>
      <c r="W452" s="8"/>
    </row>
    <row r="453" spans="1:23" ht="15.75" thickBot="1" x14ac:dyDescent="0.3">
      <c r="A453" s="5">
        <v>452</v>
      </c>
      <c r="B453" s="6">
        <v>40563</v>
      </c>
      <c r="C453" s="5">
        <v>1</v>
      </c>
      <c r="D453" s="5">
        <v>0</v>
      </c>
      <c r="E453" s="5">
        <v>1</v>
      </c>
      <c r="F453" s="5">
        <v>20</v>
      </c>
      <c r="G453" s="7" t="b">
        <v>0</v>
      </c>
      <c r="H453" s="5">
        <v>4</v>
      </c>
      <c r="I453" s="5">
        <v>2</v>
      </c>
      <c r="J453" s="5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  <c r="Q453" t="s">
        <v>51</v>
      </c>
      <c r="R453" t="s">
        <v>26</v>
      </c>
      <c r="S453" s="8" t="str">
        <f t="shared" si="21"/>
        <v>Normal</v>
      </c>
      <c r="T453" s="8" t="str">
        <f t="shared" si="22"/>
        <v>Medium</v>
      </c>
      <c r="U453" s="8" t="str">
        <f t="shared" si="23"/>
        <v>Evening</v>
      </c>
      <c r="V453" s="8"/>
      <c r="W453" s="8"/>
    </row>
    <row r="454" spans="1:23" ht="15.75" thickBot="1" x14ac:dyDescent="0.3">
      <c r="A454" s="5">
        <v>453</v>
      </c>
      <c r="B454" s="6">
        <v>40563</v>
      </c>
      <c r="C454" s="5">
        <v>1</v>
      </c>
      <c r="D454" s="5">
        <v>0</v>
      </c>
      <c r="E454" s="5">
        <v>1</v>
      </c>
      <c r="F454" s="5">
        <v>21</v>
      </c>
      <c r="G454" s="7" t="b">
        <v>0</v>
      </c>
      <c r="H454" s="5">
        <v>4</v>
      </c>
      <c r="I454" s="5">
        <v>2</v>
      </c>
      <c r="J454" s="5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  <c r="Q454" t="s">
        <v>51</v>
      </c>
      <c r="R454" t="s">
        <v>26</v>
      </c>
      <c r="S454" s="8" t="str">
        <f t="shared" si="21"/>
        <v>Normal</v>
      </c>
      <c r="T454" s="8" t="str">
        <f t="shared" si="22"/>
        <v>Medium</v>
      </c>
      <c r="U454" s="8" t="str">
        <f t="shared" si="23"/>
        <v>Evening</v>
      </c>
      <c r="V454" s="8"/>
      <c r="W454" s="8"/>
    </row>
    <row r="455" spans="1:23" ht="15.75" thickBot="1" x14ac:dyDescent="0.3">
      <c r="A455" s="5">
        <v>454</v>
      </c>
      <c r="B455" s="6">
        <v>40563</v>
      </c>
      <c r="C455" s="5">
        <v>1</v>
      </c>
      <c r="D455" s="5">
        <v>0</v>
      </c>
      <c r="E455" s="5">
        <v>1</v>
      </c>
      <c r="F455" s="5">
        <v>22</v>
      </c>
      <c r="G455" s="7" t="b">
        <v>0</v>
      </c>
      <c r="H455" s="5">
        <v>4</v>
      </c>
      <c r="I455" s="5">
        <v>2</v>
      </c>
      <c r="J455" s="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  <c r="Q455" t="s">
        <v>51</v>
      </c>
      <c r="R455" t="s">
        <v>26</v>
      </c>
      <c r="S455" s="8" t="str">
        <f t="shared" si="21"/>
        <v>Normal</v>
      </c>
      <c r="T455" s="8" t="str">
        <f t="shared" si="22"/>
        <v>Medium</v>
      </c>
      <c r="U455" s="8" t="str">
        <f t="shared" si="23"/>
        <v>Evening</v>
      </c>
      <c r="V455" s="8"/>
      <c r="W455" s="8"/>
    </row>
    <row r="456" spans="1:23" ht="15.75" thickBot="1" x14ac:dyDescent="0.3">
      <c r="A456" s="5">
        <v>455</v>
      </c>
      <c r="B456" s="6">
        <v>40563</v>
      </c>
      <c r="C456" s="5">
        <v>1</v>
      </c>
      <c r="D456" s="5">
        <v>0</v>
      </c>
      <c r="E456" s="5">
        <v>1</v>
      </c>
      <c r="F456" s="5">
        <v>23</v>
      </c>
      <c r="G456" s="7" t="b">
        <v>0</v>
      </c>
      <c r="H456" s="5">
        <v>4</v>
      </c>
      <c r="I456" s="5">
        <v>2</v>
      </c>
      <c r="J456" s="5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  <c r="Q456" t="s">
        <v>51</v>
      </c>
      <c r="R456" t="s">
        <v>26</v>
      </c>
      <c r="S456" s="8" t="str">
        <f t="shared" si="21"/>
        <v>Normal</v>
      </c>
      <c r="T456" s="8" t="str">
        <f t="shared" si="22"/>
        <v>Low</v>
      </c>
      <c r="U456" s="8" t="str">
        <f t="shared" si="23"/>
        <v>Evening</v>
      </c>
      <c r="V456" s="8"/>
      <c r="W456" s="8"/>
    </row>
    <row r="457" spans="1:23" ht="15.75" thickBot="1" x14ac:dyDescent="0.3">
      <c r="A457" s="5">
        <v>456</v>
      </c>
      <c r="B457" s="6">
        <v>40564</v>
      </c>
      <c r="C457" s="5">
        <v>1</v>
      </c>
      <c r="D457" s="5">
        <v>0</v>
      </c>
      <c r="E457" s="5">
        <v>1</v>
      </c>
      <c r="F457" s="5">
        <v>0</v>
      </c>
      <c r="G457" s="7" t="b">
        <v>0</v>
      </c>
      <c r="H457" s="5">
        <v>5</v>
      </c>
      <c r="I457" s="5">
        <v>2</v>
      </c>
      <c r="J457" s="5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  <c r="Q457" t="s">
        <v>52</v>
      </c>
      <c r="R457" t="s">
        <v>26</v>
      </c>
      <c r="S457" s="8" t="str">
        <f t="shared" si="21"/>
        <v>Normal</v>
      </c>
      <c r="T457" s="8" t="str">
        <f t="shared" si="22"/>
        <v>Low</v>
      </c>
      <c r="U457" s="8" t="str">
        <f t="shared" si="23"/>
        <v>Night</v>
      </c>
      <c r="V457" s="8"/>
      <c r="W457" s="8"/>
    </row>
    <row r="458" spans="1:23" ht="15.75" thickBot="1" x14ac:dyDescent="0.3">
      <c r="A458" s="5">
        <v>457</v>
      </c>
      <c r="B458" s="6">
        <v>40564</v>
      </c>
      <c r="C458" s="5">
        <v>1</v>
      </c>
      <c r="D458" s="5">
        <v>0</v>
      </c>
      <c r="E458" s="5">
        <v>1</v>
      </c>
      <c r="F458" s="5">
        <v>1</v>
      </c>
      <c r="G458" s="7" t="b">
        <v>0</v>
      </c>
      <c r="H458" s="5">
        <v>5</v>
      </c>
      <c r="I458" s="5">
        <v>2</v>
      </c>
      <c r="J458" s="5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  <c r="Q458" t="s">
        <v>52</v>
      </c>
      <c r="R458" t="s">
        <v>26</v>
      </c>
      <c r="S458" s="8" t="str">
        <f t="shared" si="21"/>
        <v>Normal</v>
      </c>
      <c r="T458" s="8" t="str">
        <f t="shared" si="22"/>
        <v>Low</v>
      </c>
      <c r="U458" s="8" t="str">
        <f t="shared" si="23"/>
        <v>Night</v>
      </c>
      <c r="V458" s="8"/>
      <c r="W458" s="8"/>
    </row>
    <row r="459" spans="1:23" ht="15.75" thickBot="1" x14ac:dyDescent="0.3">
      <c r="A459" s="5">
        <v>458</v>
      </c>
      <c r="B459" s="6">
        <v>40564</v>
      </c>
      <c r="C459" s="5">
        <v>1</v>
      </c>
      <c r="D459" s="5">
        <v>0</v>
      </c>
      <c r="E459" s="5">
        <v>1</v>
      </c>
      <c r="F459" s="5">
        <v>2</v>
      </c>
      <c r="G459" s="7" t="b">
        <v>0</v>
      </c>
      <c r="H459" s="5">
        <v>5</v>
      </c>
      <c r="I459" s="5">
        <v>3</v>
      </c>
      <c r="J459" s="5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  <c r="Q459" t="s">
        <v>52</v>
      </c>
      <c r="R459" t="s">
        <v>40</v>
      </c>
      <c r="S459" s="8" t="str">
        <f t="shared" si="21"/>
        <v>Normal</v>
      </c>
      <c r="T459" s="8" t="str">
        <f t="shared" si="22"/>
        <v>Low</v>
      </c>
      <c r="U459" s="8" t="str">
        <f t="shared" si="23"/>
        <v>Night</v>
      </c>
      <c r="V459" s="8"/>
      <c r="W459" s="8"/>
    </row>
    <row r="460" spans="1:23" ht="15.75" thickBot="1" x14ac:dyDescent="0.3">
      <c r="A460" s="5">
        <v>459</v>
      </c>
      <c r="B460" s="6">
        <v>40564</v>
      </c>
      <c r="C460" s="5">
        <v>1</v>
      </c>
      <c r="D460" s="5">
        <v>0</v>
      </c>
      <c r="E460" s="5">
        <v>1</v>
      </c>
      <c r="F460" s="5">
        <v>3</v>
      </c>
      <c r="G460" s="7" t="b">
        <v>0</v>
      </c>
      <c r="H460" s="5">
        <v>5</v>
      </c>
      <c r="I460" s="5">
        <v>3</v>
      </c>
      <c r="J460" s="5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  <c r="Q460" t="s">
        <v>52</v>
      </c>
      <c r="R460" t="s">
        <v>40</v>
      </c>
      <c r="S460" s="8" t="str">
        <f t="shared" si="21"/>
        <v>Normal</v>
      </c>
      <c r="T460" s="8" t="str">
        <f t="shared" si="22"/>
        <v>Low</v>
      </c>
      <c r="U460" s="8" t="str">
        <f t="shared" si="23"/>
        <v>Night</v>
      </c>
      <c r="V460" s="8"/>
      <c r="W460" s="8"/>
    </row>
    <row r="461" spans="1:23" ht="15.75" thickBot="1" x14ac:dyDescent="0.3">
      <c r="A461" s="5">
        <v>460</v>
      </c>
      <c r="B461" s="6">
        <v>40564</v>
      </c>
      <c r="C461" s="5">
        <v>1</v>
      </c>
      <c r="D461" s="5">
        <v>0</v>
      </c>
      <c r="E461" s="5">
        <v>1</v>
      </c>
      <c r="F461" s="5">
        <v>4</v>
      </c>
      <c r="G461" s="7" t="b">
        <v>0</v>
      </c>
      <c r="H461" s="5">
        <v>5</v>
      </c>
      <c r="I461" s="5">
        <v>2</v>
      </c>
      <c r="J461" s="5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  <c r="Q461" t="s">
        <v>52</v>
      </c>
      <c r="R461" t="s">
        <v>26</v>
      </c>
      <c r="S461" s="8" t="str">
        <f t="shared" si="21"/>
        <v>Normal</v>
      </c>
      <c r="T461" s="8" t="str">
        <f t="shared" si="22"/>
        <v>Low</v>
      </c>
      <c r="U461" s="8" t="str">
        <f t="shared" si="23"/>
        <v>Night</v>
      </c>
      <c r="V461" s="8"/>
      <c r="W461" s="8"/>
    </row>
    <row r="462" spans="1:23" ht="15.75" thickBot="1" x14ac:dyDescent="0.3">
      <c r="A462" s="5">
        <v>461</v>
      </c>
      <c r="B462" s="6">
        <v>40564</v>
      </c>
      <c r="C462" s="5">
        <v>1</v>
      </c>
      <c r="D462" s="5">
        <v>0</v>
      </c>
      <c r="E462" s="5">
        <v>1</v>
      </c>
      <c r="F462" s="5">
        <v>5</v>
      </c>
      <c r="G462" s="7" t="b">
        <v>0</v>
      </c>
      <c r="H462" s="5">
        <v>5</v>
      </c>
      <c r="I462" s="5">
        <v>1</v>
      </c>
      <c r="J462" s="5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  <c r="Q462" t="s">
        <v>52</v>
      </c>
      <c r="R462" t="s">
        <v>22</v>
      </c>
      <c r="S462" s="8" t="str">
        <f t="shared" si="21"/>
        <v>Normal</v>
      </c>
      <c r="T462" s="8" t="str">
        <f t="shared" si="22"/>
        <v>Low</v>
      </c>
      <c r="U462" s="8" t="str">
        <f t="shared" si="23"/>
        <v>Night</v>
      </c>
      <c r="V462" s="8"/>
      <c r="W462" s="8"/>
    </row>
    <row r="463" spans="1:23" ht="15.75" thickBot="1" x14ac:dyDescent="0.3">
      <c r="A463" s="5">
        <v>462</v>
      </c>
      <c r="B463" s="6">
        <v>40564</v>
      </c>
      <c r="C463" s="5">
        <v>1</v>
      </c>
      <c r="D463" s="5">
        <v>0</v>
      </c>
      <c r="E463" s="5">
        <v>1</v>
      </c>
      <c r="F463" s="5">
        <v>6</v>
      </c>
      <c r="G463" s="7" t="b">
        <v>0</v>
      </c>
      <c r="H463" s="5">
        <v>5</v>
      </c>
      <c r="I463" s="5">
        <v>1</v>
      </c>
      <c r="J463" s="5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  <c r="Q463" t="s">
        <v>52</v>
      </c>
      <c r="R463" t="s">
        <v>22</v>
      </c>
      <c r="S463" s="8" t="str">
        <f t="shared" si="21"/>
        <v>Normal</v>
      </c>
      <c r="T463" s="8" t="str">
        <f t="shared" si="22"/>
        <v>Low</v>
      </c>
      <c r="U463" s="8" t="str">
        <f t="shared" si="23"/>
        <v>Morning</v>
      </c>
      <c r="V463" s="8"/>
      <c r="W463" s="8"/>
    </row>
    <row r="464" spans="1:23" ht="15.75" thickBot="1" x14ac:dyDescent="0.3">
      <c r="A464" s="5">
        <v>463</v>
      </c>
      <c r="B464" s="6">
        <v>40564</v>
      </c>
      <c r="C464" s="5">
        <v>1</v>
      </c>
      <c r="D464" s="5">
        <v>0</v>
      </c>
      <c r="E464" s="5">
        <v>1</v>
      </c>
      <c r="F464" s="5">
        <v>7</v>
      </c>
      <c r="G464" s="7" t="b">
        <v>0</v>
      </c>
      <c r="H464" s="5">
        <v>5</v>
      </c>
      <c r="I464" s="5">
        <v>1</v>
      </c>
      <c r="J464" s="5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  <c r="Q464" t="s">
        <v>52</v>
      </c>
      <c r="R464" t="s">
        <v>22</v>
      </c>
      <c r="S464" s="8" t="str">
        <f t="shared" si="21"/>
        <v>Rush Hour</v>
      </c>
      <c r="T464" s="8" t="str">
        <f t="shared" si="22"/>
        <v>Medium</v>
      </c>
      <c r="U464" s="8" t="str">
        <f t="shared" si="23"/>
        <v>Morning</v>
      </c>
      <c r="V464" s="8"/>
      <c r="W464" s="8"/>
    </row>
    <row r="465" spans="1:23" ht="15.75" thickBot="1" x14ac:dyDescent="0.3">
      <c r="A465" s="5">
        <v>464</v>
      </c>
      <c r="B465" s="6">
        <v>40564</v>
      </c>
      <c r="C465" s="5">
        <v>1</v>
      </c>
      <c r="D465" s="5">
        <v>0</v>
      </c>
      <c r="E465" s="5">
        <v>1</v>
      </c>
      <c r="F465" s="5">
        <v>8</v>
      </c>
      <c r="G465" s="7" t="b">
        <v>0</v>
      </c>
      <c r="H465" s="5">
        <v>5</v>
      </c>
      <c r="I465" s="5">
        <v>1</v>
      </c>
      <c r="J465" s="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  <c r="Q465" t="s">
        <v>52</v>
      </c>
      <c r="R465" t="s">
        <v>22</v>
      </c>
      <c r="S465" s="8" t="str">
        <f t="shared" si="21"/>
        <v>Rush Hour</v>
      </c>
      <c r="T465" s="8" t="str">
        <f t="shared" si="22"/>
        <v>High</v>
      </c>
      <c r="U465" s="8" t="str">
        <f t="shared" si="23"/>
        <v>Morning</v>
      </c>
      <c r="V465" s="8"/>
      <c r="W465" s="8"/>
    </row>
    <row r="466" spans="1:23" ht="15.75" thickBot="1" x14ac:dyDescent="0.3">
      <c r="A466" s="5">
        <v>465</v>
      </c>
      <c r="B466" s="6">
        <v>40564</v>
      </c>
      <c r="C466" s="5">
        <v>1</v>
      </c>
      <c r="D466" s="5">
        <v>0</v>
      </c>
      <c r="E466" s="5">
        <v>1</v>
      </c>
      <c r="F466" s="5">
        <v>9</v>
      </c>
      <c r="G466" s="7" t="b">
        <v>0</v>
      </c>
      <c r="H466" s="5">
        <v>5</v>
      </c>
      <c r="I466" s="5">
        <v>1</v>
      </c>
      <c r="J466" s="5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  <c r="Q466" t="s">
        <v>52</v>
      </c>
      <c r="R466" t="s">
        <v>22</v>
      </c>
      <c r="S466" s="8" t="str">
        <f t="shared" si="21"/>
        <v>Rush Hour</v>
      </c>
      <c r="T466" s="8" t="str">
        <f t="shared" si="22"/>
        <v>High</v>
      </c>
      <c r="U466" s="8" t="str">
        <f t="shared" si="23"/>
        <v>Morning</v>
      </c>
      <c r="V466" s="8"/>
      <c r="W466" s="8"/>
    </row>
    <row r="467" spans="1:23" ht="15.75" thickBot="1" x14ac:dyDescent="0.3">
      <c r="A467" s="5">
        <v>466</v>
      </c>
      <c r="B467" s="6">
        <v>40564</v>
      </c>
      <c r="C467" s="5">
        <v>1</v>
      </c>
      <c r="D467" s="5">
        <v>0</v>
      </c>
      <c r="E467" s="5">
        <v>1</v>
      </c>
      <c r="F467" s="5">
        <v>10</v>
      </c>
      <c r="G467" s="7" t="b">
        <v>0</v>
      </c>
      <c r="H467" s="5">
        <v>5</v>
      </c>
      <c r="I467" s="5">
        <v>1</v>
      </c>
      <c r="J467" s="5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  <c r="Q467" t="s">
        <v>52</v>
      </c>
      <c r="R467" t="s">
        <v>22</v>
      </c>
      <c r="S467" s="8" t="str">
        <f t="shared" si="21"/>
        <v>Normal</v>
      </c>
      <c r="T467" s="8" t="str">
        <f t="shared" si="22"/>
        <v>Medium</v>
      </c>
      <c r="U467" s="8" t="str">
        <f t="shared" si="23"/>
        <v>Morning</v>
      </c>
      <c r="V467" s="8"/>
      <c r="W467" s="8"/>
    </row>
    <row r="468" spans="1:23" ht="15.75" thickBot="1" x14ac:dyDescent="0.3">
      <c r="A468" s="5">
        <v>467</v>
      </c>
      <c r="B468" s="6">
        <v>40564</v>
      </c>
      <c r="C468" s="5">
        <v>1</v>
      </c>
      <c r="D468" s="5">
        <v>0</v>
      </c>
      <c r="E468" s="5">
        <v>1</v>
      </c>
      <c r="F468" s="5">
        <v>11</v>
      </c>
      <c r="G468" s="7" t="b">
        <v>0</v>
      </c>
      <c r="H468" s="5">
        <v>5</v>
      </c>
      <c r="I468" s="5">
        <v>1</v>
      </c>
      <c r="J468" s="5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  <c r="Q468" t="s">
        <v>52</v>
      </c>
      <c r="R468" t="s">
        <v>22</v>
      </c>
      <c r="S468" s="8" t="str">
        <f t="shared" si="21"/>
        <v>Normal</v>
      </c>
      <c r="T468" s="8" t="str">
        <f t="shared" si="22"/>
        <v>Medium</v>
      </c>
      <c r="U468" s="8" t="str">
        <f t="shared" si="23"/>
        <v>Morning</v>
      </c>
      <c r="V468" s="8"/>
      <c r="W468" s="8"/>
    </row>
    <row r="469" spans="1:23" ht="15.75" thickBot="1" x14ac:dyDescent="0.3">
      <c r="A469" s="5">
        <v>468</v>
      </c>
      <c r="B469" s="6">
        <v>40564</v>
      </c>
      <c r="C469" s="5">
        <v>1</v>
      </c>
      <c r="D469" s="5">
        <v>0</v>
      </c>
      <c r="E469" s="5">
        <v>1</v>
      </c>
      <c r="F469" s="5">
        <v>12</v>
      </c>
      <c r="G469" s="7" t="b">
        <v>0</v>
      </c>
      <c r="H469" s="5">
        <v>5</v>
      </c>
      <c r="I469" s="5">
        <v>1</v>
      </c>
      <c r="J469" s="5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  <c r="Q469" t="s">
        <v>52</v>
      </c>
      <c r="R469" t="s">
        <v>22</v>
      </c>
      <c r="S469" s="8" t="str">
        <f t="shared" si="21"/>
        <v>Normal</v>
      </c>
      <c r="T469" s="8" t="str">
        <f t="shared" si="22"/>
        <v>Medium</v>
      </c>
      <c r="U469" s="8" t="str">
        <f t="shared" si="23"/>
        <v>Afternoon</v>
      </c>
      <c r="V469" s="8"/>
      <c r="W469" s="8"/>
    </row>
    <row r="470" spans="1:23" ht="15.75" thickBot="1" x14ac:dyDescent="0.3">
      <c r="A470" s="5">
        <v>469</v>
      </c>
      <c r="B470" s="6">
        <v>40564</v>
      </c>
      <c r="C470" s="5">
        <v>1</v>
      </c>
      <c r="D470" s="5">
        <v>0</v>
      </c>
      <c r="E470" s="5">
        <v>1</v>
      </c>
      <c r="F470" s="5">
        <v>13</v>
      </c>
      <c r="G470" s="7" t="b">
        <v>0</v>
      </c>
      <c r="H470" s="5">
        <v>5</v>
      </c>
      <c r="I470" s="5">
        <v>1</v>
      </c>
      <c r="J470" s="5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  <c r="Q470" t="s">
        <v>52</v>
      </c>
      <c r="R470" t="s">
        <v>22</v>
      </c>
      <c r="S470" s="8" t="str">
        <f t="shared" si="21"/>
        <v>Normal</v>
      </c>
      <c r="T470" s="8" t="str">
        <f t="shared" si="22"/>
        <v>Medium</v>
      </c>
      <c r="U470" s="8" t="str">
        <f t="shared" si="23"/>
        <v>Afternoon</v>
      </c>
      <c r="V470" s="8"/>
      <c r="W470" s="8"/>
    </row>
    <row r="471" spans="1:23" ht="15.75" thickBot="1" x14ac:dyDescent="0.3">
      <c r="A471" s="5">
        <v>470</v>
      </c>
      <c r="B471" s="6">
        <v>40564</v>
      </c>
      <c r="C471" s="5">
        <v>1</v>
      </c>
      <c r="D471" s="5">
        <v>0</v>
      </c>
      <c r="E471" s="5">
        <v>1</v>
      </c>
      <c r="F471" s="5">
        <v>14</v>
      </c>
      <c r="G471" s="7" t="b">
        <v>0</v>
      </c>
      <c r="H471" s="5">
        <v>5</v>
      </c>
      <c r="I471" s="5">
        <v>1</v>
      </c>
      <c r="J471" s="5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  <c r="Q471" t="s">
        <v>52</v>
      </c>
      <c r="R471" t="s">
        <v>22</v>
      </c>
      <c r="S471" s="8" t="str">
        <f t="shared" si="21"/>
        <v>Normal</v>
      </c>
      <c r="T471" s="8" t="str">
        <f t="shared" si="22"/>
        <v>Medium</v>
      </c>
      <c r="U471" s="8" t="str">
        <f t="shared" si="23"/>
        <v>Afternoon</v>
      </c>
      <c r="V471" s="8"/>
      <c r="W471" s="8"/>
    </row>
    <row r="472" spans="1:23" ht="15.75" thickBot="1" x14ac:dyDescent="0.3">
      <c r="A472" s="5">
        <v>471</v>
      </c>
      <c r="B472" s="6">
        <v>40564</v>
      </c>
      <c r="C472" s="5">
        <v>1</v>
      </c>
      <c r="D472" s="5">
        <v>0</v>
      </c>
      <c r="E472" s="5">
        <v>1</v>
      </c>
      <c r="F472" s="5">
        <v>15</v>
      </c>
      <c r="G472" s="7" t="b">
        <v>0</v>
      </c>
      <c r="H472" s="5">
        <v>5</v>
      </c>
      <c r="I472" s="5">
        <v>1</v>
      </c>
      <c r="J472" s="5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  <c r="Q472" t="s">
        <v>52</v>
      </c>
      <c r="R472" t="s">
        <v>22</v>
      </c>
      <c r="S472" s="8" t="str">
        <f t="shared" si="21"/>
        <v>Normal</v>
      </c>
      <c r="T472" s="8" t="str">
        <f t="shared" si="22"/>
        <v>Medium</v>
      </c>
      <c r="U472" s="8" t="str">
        <f t="shared" si="23"/>
        <v>Afternoon</v>
      </c>
      <c r="V472" s="8"/>
      <c r="W472" s="8"/>
    </row>
    <row r="473" spans="1:23" ht="15.75" thickBot="1" x14ac:dyDescent="0.3">
      <c r="A473" s="5">
        <v>472</v>
      </c>
      <c r="B473" s="6">
        <v>40564</v>
      </c>
      <c r="C473" s="5">
        <v>1</v>
      </c>
      <c r="D473" s="5">
        <v>0</v>
      </c>
      <c r="E473" s="5">
        <v>1</v>
      </c>
      <c r="F473" s="5">
        <v>16</v>
      </c>
      <c r="G473" s="7" t="b">
        <v>0</v>
      </c>
      <c r="H473" s="5">
        <v>5</v>
      </c>
      <c r="I473" s="5">
        <v>1</v>
      </c>
      <c r="J473" s="5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  <c r="Q473" t="s">
        <v>52</v>
      </c>
      <c r="R473" t="s">
        <v>22</v>
      </c>
      <c r="S473" s="8" t="str">
        <f t="shared" si="21"/>
        <v>Normal</v>
      </c>
      <c r="T473" s="8" t="str">
        <f t="shared" si="22"/>
        <v>Medium</v>
      </c>
      <c r="U473" s="8" t="str">
        <f t="shared" si="23"/>
        <v>Afternoon</v>
      </c>
      <c r="V473" s="8"/>
      <c r="W473" s="8"/>
    </row>
    <row r="474" spans="1:23" ht="15.75" thickBot="1" x14ac:dyDescent="0.3">
      <c r="A474" s="5">
        <v>473</v>
      </c>
      <c r="B474" s="6">
        <v>40564</v>
      </c>
      <c r="C474" s="5">
        <v>1</v>
      </c>
      <c r="D474" s="5">
        <v>0</v>
      </c>
      <c r="E474" s="5">
        <v>1</v>
      </c>
      <c r="F474" s="5">
        <v>17</v>
      </c>
      <c r="G474" s="7" t="b">
        <v>0</v>
      </c>
      <c r="H474" s="5">
        <v>5</v>
      </c>
      <c r="I474" s="5">
        <v>1</v>
      </c>
      <c r="J474" s="5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  <c r="Q474" t="s">
        <v>52</v>
      </c>
      <c r="R474" t="s">
        <v>22</v>
      </c>
      <c r="S474" s="8" t="str">
        <f t="shared" si="21"/>
        <v>Rush Hour</v>
      </c>
      <c r="T474" s="8" t="str">
        <f t="shared" si="22"/>
        <v>High</v>
      </c>
      <c r="U474" s="8" t="str">
        <f t="shared" si="23"/>
        <v>Afternoon</v>
      </c>
      <c r="V474" s="8"/>
      <c r="W474" s="8"/>
    </row>
    <row r="475" spans="1:23" ht="15.75" thickBot="1" x14ac:dyDescent="0.3">
      <c r="A475" s="5">
        <v>474</v>
      </c>
      <c r="B475" s="6">
        <v>40564</v>
      </c>
      <c r="C475" s="5">
        <v>1</v>
      </c>
      <c r="D475" s="5">
        <v>0</v>
      </c>
      <c r="E475" s="5">
        <v>1</v>
      </c>
      <c r="F475" s="5">
        <v>18</v>
      </c>
      <c r="G475" s="7" t="b">
        <v>0</v>
      </c>
      <c r="H475" s="5">
        <v>5</v>
      </c>
      <c r="I475" s="5">
        <v>1</v>
      </c>
      <c r="J475" s="5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  <c r="Q475" t="s">
        <v>52</v>
      </c>
      <c r="R475" t="s">
        <v>22</v>
      </c>
      <c r="S475" s="8" t="str">
        <f t="shared" si="21"/>
        <v>Rush Hour</v>
      </c>
      <c r="T475" s="8" t="str">
        <f t="shared" si="22"/>
        <v>Medium</v>
      </c>
      <c r="U475" s="8" t="str">
        <f t="shared" si="23"/>
        <v>Evening</v>
      </c>
      <c r="V475" s="8"/>
      <c r="W475" s="8"/>
    </row>
    <row r="476" spans="1:23" ht="15.75" thickBot="1" x14ac:dyDescent="0.3">
      <c r="A476" s="5">
        <v>475</v>
      </c>
      <c r="B476" s="6">
        <v>40564</v>
      </c>
      <c r="C476" s="5">
        <v>1</v>
      </c>
      <c r="D476" s="5">
        <v>0</v>
      </c>
      <c r="E476" s="5">
        <v>1</v>
      </c>
      <c r="F476" s="5">
        <v>19</v>
      </c>
      <c r="G476" s="7" t="b">
        <v>0</v>
      </c>
      <c r="H476" s="5">
        <v>5</v>
      </c>
      <c r="I476" s="5">
        <v>1</v>
      </c>
      <c r="J476" s="5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  <c r="Q476" t="s">
        <v>52</v>
      </c>
      <c r="R476" t="s">
        <v>22</v>
      </c>
      <c r="S476" s="8" t="str">
        <f t="shared" si="21"/>
        <v>Rush Hour</v>
      </c>
      <c r="T476" s="8" t="str">
        <f t="shared" si="22"/>
        <v>Medium</v>
      </c>
      <c r="U476" s="8" t="str">
        <f t="shared" si="23"/>
        <v>Evening</v>
      </c>
      <c r="V476" s="8"/>
      <c r="W476" s="8"/>
    </row>
    <row r="477" spans="1:23" ht="15.75" thickBot="1" x14ac:dyDescent="0.3">
      <c r="A477" s="5">
        <v>476</v>
      </c>
      <c r="B477" s="6">
        <v>40564</v>
      </c>
      <c r="C477" s="5">
        <v>1</v>
      </c>
      <c r="D477" s="5">
        <v>0</v>
      </c>
      <c r="E477" s="5">
        <v>1</v>
      </c>
      <c r="F477" s="5">
        <v>20</v>
      </c>
      <c r="G477" s="7" t="b">
        <v>0</v>
      </c>
      <c r="H477" s="5">
        <v>5</v>
      </c>
      <c r="I477" s="5">
        <v>1</v>
      </c>
      <c r="J477" s="5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  <c r="Q477" t="s">
        <v>52</v>
      </c>
      <c r="R477" t="s">
        <v>22</v>
      </c>
      <c r="S477" s="8" t="str">
        <f t="shared" si="21"/>
        <v>Normal</v>
      </c>
      <c r="T477" s="8" t="str">
        <f t="shared" si="22"/>
        <v>Medium</v>
      </c>
      <c r="U477" s="8" t="str">
        <f t="shared" si="23"/>
        <v>Evening</v>
      </c>
      <c r="V477" s="8"/>
      <c r="W477" s="8"/>
    </row>
    <row r="478" spans="1:23" ht="15.75" thickBot="1" x14ac:dyDescent="0.3">
      <c r="A478" s="5">
        <v>477</v>
      </c>
      <c r="B478" s="6">
        <v>40564</v>
      </c>
      <c r="C478" s="5">
        <v>1</v>
      </c>
      <c r="D478" s="5">
        <v>0</v>
      </c>
      <c r="E478" s="5">
        <v>1</v>
      </c>
      <c r="F478" s="5">
        <v>21</v>
      </c>
      <c r="G478" s="7" t="b">
        <v>0</v>
      </c>
      <c r="H478" s="5">
        <v>5</v>
      </c>
      <c r="I478" s="5">
        <v>1</v>
      </c>
      <c r="J478" s="5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  <c r="Q478" t="s">
        <v>52</v>
      </c>
      <c r="R478" t="s">
        <v>22</v>
      </c>
      <c r="S478" s="8" t="str">
        <f t="shared" si="21"/>
        <v>Normal</v>
      </c>
      <c r="T478" s="8" t="str">
        <f t="shared" si="22"/>
        <v>Low</v>
      </c>
      <c r="U478" s="8" t="str">
        <f t="shared" si="23"/>
        <v>Evening</v>
      </c>
      <c r="V478" s="8"/>
      <c r="W478" s="8"/>
    </row>
    <row r="479" spans="1:23" ht="15.75" thickBot="1" x14ac:dyDescent="0.3">
      <c r="A479" s="5">
        <v>478</v>
      </c>
      <c r="B479" s="6">
        <v>40564</v>
      </c>
      <c r="C479" s="5">
        <v>1</v>
      </c>
      <c r="D479" s="5">
        <v>0</v>
      </c>
      <c r="E479" s="5">
        <v>1</v>
      </c>
      <c r="F479" s="5">
        <v>22</v>
      </c>
      <c r="G479" s="7" t="b">
        <v>0</v>
      </c>
      <c r="H479" s="5">
        <v>5</v>
      </c>
      <c r="I479" s="5">
        <v>1</v>
      </c>
      <c r="J479" s="5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  <c r="Q479" t="s">
        <v>52</v>
      </c>
      <c r="R479" t="s">
        <v>22</v>
      </c>
      <c r="S479" s="8" t="str">
        <f t="shared" si="21"/>
        <v>Normal</v>
      </c>
      <c r="T479" s="8" t="str">
        <f t="shared" si="22"/>
        <v>Low</v>
      </c>
      <c r="U479" s="8" t="str">
        <f t="shared" si="23"/>
        <v>Evening</v>
      </c>
      <c r="V479" s="8"/>
      <c r="W479" s="8"/>
    </row>
    <row r="480" spans="1:23" ht="15.75" thickBot="1" x14ac:dyDescent="0.3">
      <c r="A480" s="5">
        <v>479</v>
      </c>
      <c r="B480" s="6">
        <v>40564</v>
      </c>
      <c r="C480" s="5">
        <v>1</v>
      </c>
      <c r="D480" s="5">
        <v>0</v>
      </c>
      <c r="E480" s="5">
        <v>1</v>
      </c>
      <c r="F480" s="5">
        <v>23</v>
      </c>
      <c r="G480" s="7" t="b">
        <v>0</v>
      </c>
      <c r="H480" s="5">
        <v>5</v>
      </c>
      <c r="I480" s="5">
        <v>1</v>
      </c>
      <c r="J480" s="5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  <c r="Q480" t="s">
        <v>52</v>
      </c>
      <c r="R480" t="s">
        <v>22</v>
      </c>
      <c r="S480" s="8" t="str">
        <f t="shared" si="21"/>
        <v>Normal</v>
      </c>
      <c r="T480" s="8" t="str">
        <f t="shared" si="22"/>
        <v>Low</v>
      </c>
      <c r="U480" s="8" t="str">
        <f t="shared" si="23"/>
        <v>Evening</v>
      </c>
      <c r="V480" s="8"/>
      <c r="W480" s="8"/>
    </row>
    <row r="481" spans="1:23" ht="15.75" thickBot="1" x14ac:dyDescent="0.3">
      <c r="A481" s="5">
        <v>480</v>
      </c>
      <c r="B481" s="6">
        <v>40565</v>
      </c>
      <c r="C481" s="5">
        <v>1</v>
      </c>
      <c r="D481" s="5">
        <v>0</v>
      </c>
      <c r="E481" s="5">
        <v>1</v>
      </c>
      <c r="F481" s="5">
        <v>0</v>
      </c>
      <c r="G481" s="7" t="b">
        <v>0</v>
      </c>
      <c r="H481" s="5">
        <v>6</v>
      </c>
      <c r="I481" s="5">
        <v>1</v>
      </c>
      <c r="J481" s="5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  <c r="Q481" t="s">
        <v>21</v>
      </c>
      <c r="R481" t="s">
        <v>22</v>
      </c>
      <c r="S481" s="8" t="str">
        <f t="shared" si="21"/>
        <v>Normal</v>
      </c>
      <c r="T481" s="8" t="str">
        <f t="shared" si="22"/>
        <v>Low</v>
      </c>
      <c r="U481" s="8" t="str">
        <f t="shared" si="23"/>
        <v>Night</v>
      </c>
      <c r="V481" s="8"/>
      <c r="W481" s="8"/>
    </row>
    <row r="482" spans="1:23" ht="15.75" thickBot="1" x14ac:dyDescent="0.3">
      <c r="A482" s="5">
        <v>481</v>
      </c>
      <c r="B482" s="6">
        <v>40565</v>
      </c>
      <c r="C482" s="5">
        <v>1</v>
      </c>
      <c r="D482" s="5">
        <v>0</v>
      </c>
      <c r="E482" s="5">
        <v>1</v>
      </c>
      <c r="F482" s="5">
        <v>1</v>
      </c>
      <c r="G482" s="7" t="b">
        <v>0</v>
      </c>
      <c r="H482" s="5">
        <v>6</v>
      </c>
      <c r="I482" s="5">
        <v>2</v>
      </c>
      <c r="J482" s="5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  <c r="Q482" t="s">
        <v>21</v>
      </c>
      <c r="R482" t="s">
        <v>26</v>
      </c>
      <c r="S482" s="8" t="str">
        <f t="shared" si="21"/>
        <v>Normal</v>
      </c>
      <c r="T482" s="8" t="str">
        <f t="shared" si="22"/>
        <v>Low</v>
      </c>
      <c r="U482" s="8" t="str">
        <f t="shared" si="23"/>
        <v>Night</v>
      </c>
      <c r="V482" s="8"/>
      <c r="W482" s="8"/>
    </row>
    <row r="483" spans="1:23" ht="15.75" thickBot="1" x14ac:dyDescent="0.3">
      <c r="A483" s="5">
        <v>482</v>
      </c>
      <c r="B483" s="6">
        <v>40565</v>
      </c>
      <c r="C483" s="5">
        <v>1</v>
      </c>
      <c r="D483" s="5">
        <v>0</v>
      </c>
      <c r="E483" s="5">
        <v>1</v>
      </c>
      <c r="F483" s="5">
        <v>2</v>
      </c>
      <c r="G483" s="7" t="b">
        <v>0</v>
      </c>
      <c r="H483" s="5">
        <v>6</v>
      </c>
      <c r="I483" s="5">
        <v>2</v>
      </c>
      <c r="J483" s="5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  <c r="Q483" t="s">
        <v>21</v>
      </c>
      <c r="R483" t="s">
        <v>26</v>
      </c>
      <c r="S483" s="8" t="str">
        <f t="shared" si="21"/>
        <v>Normal</v>
      </c>
      <c r="T483" s="8" t="str">
        <f t="shared" si="22"/>
        <v>Low</v>
      </c>
      <c r="U483" s="8" t="str">
        <f t="shared" si="23"/>
        <v>Night</v>
      </c>
      <c r="V483" s="8"/>
      <c r="W483" s="8"/>
    </row>
    <row r="484" spans="1:23" ht="15.75" thickBot="1" x14ac:dyDescent="0.3">
      <c r="A484" s="5">
        <v>483</v>
      </c>
      <c r="B484" s="6">
        <v>40565</v>
      </c>
      <c r="C484" s="5">
        <v>1</v>
      </c>
      <c r="D484" s="5">
        <v>0</v>
      </c>
      <c r="E484" s="5">
        <v>1</v>
      </c>
      <c r="F484" s="5">
        <v>3</v>
      </c>
      <c r="G484" s="7" t="b">
        <v>0</v>
      </c>
      <c r="H484" s="5">
        <v>6</v>
      </c>
      <c r="I484" s="5">
        <v>2</v>
      </c>
      <c r="J484" s="5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  <c r="Q484" t="s">
        <v>21</v>
      </c>
      <c r="R484" t="s">
        <v>26</v>
      </c>
      <c r="S484" s="8" t="str">
        <f t="shared" si="21"/>
        <v>Normal</v>
      </c>
      <c r="T484" s="8" t="str">
        <f t="shared" si="22"/>
        <v>Low</v>
      </c>
      <c r="U484" s="8" t="str">
        <f t="shared" si="23"/>
        <v>Night</v>
      </c>
      <c r="V484" s="8"/>
      <c r="W484" s="8"/>
    </row>
    <row r="485" spans="1:23" ht="15.75" thickBot="1" x14ac:dyDescent="0.3">
      <c r="A485" s="5">
        <v>484</v>
      </c>
      <c r="B485" s="6">
        <v>40565</v>
      </c>
      <c r="C485" s="5">
        <v>1</v>
      </c>
      <c r="D485" s="5">
        <v>0</v>
      </c>
      <c r="E485" s="5">
        <v>1</v>
      </c>
      <c r="F485" s="5">
        <v>4</v>
      </c>
      <c r="G485" s="7" t="b">
        <v>0</v>
      </c>
      <c r="H485" s="5">
        <v>6</v>
      </c>
      <c r="I485" s="5">
        <v>2</v>
      </c>
      <c r="J485" s="5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  <c r="Q485" t="s">
        <v>21</v>
      </c>
      <c r="R485" t="s">
        <v>26</v>
      </c>
      <c r="S485" s="8" t="str">
        <f t="shared" si="21"/>
        <v>Normal</v>
      </c>
      <c r="T485" s="8" t="str">
        <f t="shared" si="22"/>
        <v>Low</v>
      </c>
      <c r="U485" s="8" t="str">
        <f t="shared" si="23"/>
        <v>Night</v>
      </c>
      <c r="V485" s="8"/>
      <c r="W485" s="8"/>
    </row>
    <row r="486" spans="1:23" ht="15.75" thickBot="1" x14ac:dyDescent="0.3">
      <c r="A486" s="5">
        <v>485</v>
      </c>
      <c r="B486" s="6">
        <v>40565</v>
      </c>
      <c r="C486" s="5">
        <v>1</v>
      </c>
      <c r="D486" s="5">
        <v>0</v>
      </c>
      <c r="E486" s="5">
        <v>1</v>
      </c>
      <c r="F486" s="5">
        <v>6</v>
      </c>
      <c r="G486" s="7" t="b">
        <v>0</v>
      </c>
      <c r="H486" s="5">
        <v>6</v>
      </c>
      <c r="I486" s="5">
        <v>2</v>
      </c>
      <c r="J486" s="5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  <c r="Q486" t="s">
        <v>21</v>
      </c>
      <c r="R486" t="s">
        <v>26</v>
      </c>
      <c r="S486" s="8" t="str">
        <f t="shared" si="21"/>
        <v>Normal</v>
      </c>
      <c r="T486" s="8" t="str">
        <f t="shared" si="22"/>
        <v>Low</v>
      </c>
      <c r="U486" s="8" t="str">
        <f t="shared" si="23"/>
        <v>Morning</v>
      </c>
      <c r="V486" s="8"/>
      <c r="W486" s="8"/>
    </row>
    <row r="487" spans="1:23" ht="15.75" thickBot="1" x14ac:dyDescent="0.3">
      <c r="A487" s="5">
        <v>486</v>
      </c>
      <c r="B487" s="6">
        <v>40565</v>
      </c>
      <c r="C487" s="5">
        <v>1</v>
      </c>
      <c r="D487" s="5">
        <v>0</v>
      </c>
      <c r="E487" s="5">
        <v>1</v>
      </c>
      <c r="F487" s="5">
        <v>7</v>
      </c>
      <c r="G487" s="7" t="b">
        <v>0</v>
      </c>
      <c r="H487" s="5">
        <v>6</v>
      </c>
      <c r="I487" s="5">
        <v>1</v>
      </c>
      <c r="J487" s="5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  <c r="Q487" t="s">
        <v>21</v>
      </c>
      <c r="R487" t="s">
        <v>22</v>
      </c>
      <c r="S487" s="8" t="str">
        <f t="shared" si="21"/>
        <v>Rush Hour</v>
      </c>
      <c r="T487" s="8" t="str">
        <f t="shared" si="22"/>
        <v>Low</v>
      </c>
      <c r="U487" s="8" t="str">
        <f t="shared" si="23"/>
        <v>Morning</v>
      </c>
      <c r="V487" s="8"/>
      <c r="W487" s="8"/>
    </row>
    <row r="488" spans="1:23" ht="15.75" thickBot="1" x14ac:dyDescent="0.3">
      <c r="A488" s="5">
        <v>487</v>
      </c>
      <c r="B488" s="6">
        <v>40565</v>
      </c>
      <c r="C488" s="5">
        <v>1</v>
      </c>
      <c r="D488" s="5">
        <v>0</v>
      </c>
      <c r="E488" s="5">
        <v>1</v>
      </c>
      <c r="F488" s="5">
        <v>8</v>
      </c>
      <c r="G488" s="7" t="b">
        <v>0</v>
      </c>
      <c r="H488" s="5">
        <v>6</v>
      </c>
      <c r="I488" s="5">
        <v>1</v>
      </c>
      <c r="J488" s="5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  <c r="Q488" t="s">
        <v>21</v>
      </c>
      <c r="R488" t="s">
        <v>22</v>
      </c>
      <c r="S488" s="8" t="str">
        <f t="shared" si="21"/>
        <v>Rush Hour</v>
      </c>
      <c r="T488" s="8" t="str">
        <f t="shared" si="22"/>
        <v>Low</v>
      </c>
      <c r="U488" s="8" t="str">
        <f t="shared" si="23"/>
        <v>Morning</v>
      </c>
      <c r="V488" s="8"/>
      <c r="W488" s="8"/>
    </row>
    <row r="489" spans="1:23" ht="15.75" thickBot="1" x14ac:dyDescent="0.3">
      <c r="A489" s="5">
        <v>488</v>
      </c>
      <c r="B489" s="6">
        <v>40565</v>
      </c>
      <c r="C489" s="5">
        <v>1</v>
      </c>
      <c r="D489" s="5">
        <v>0</v>
      </c>
      <c r="E489" s="5">
        <v>1</v>
      </c>
      <c r="F489" s="5">
        <v>9</v>
      </c>
      <c r="G489" s="7" t="b">
        <v>0</v>
      </c>
      <c r="H489" s="5">
        <v>6</v>
      </c>
      <c r="I489" s="5">
        <v>1</v>
      </c>
      <c r="J489" s="5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  <c r="Q489" t="s">
        <v>21</v>
      </c>
      <c r="R489" t="s">
        <v>22</v>
      </c>
      <c r="S489" s="8" t="str">
        <f t="shared" si="21"/>
        <v>Rush Hour</v>
      </c>
      <c r="T489" s="8" t="str">
        <f t="shared" si="22"/>
        <v>Low</v>
      </c>
      <c r="U489" s="8" t="str">
        <f t="shared" si="23"/>
        <v>Morning</v>
      </c>
      <c r="V489" s="8"/>
      <c r="W489" s="8"/>
    </row>
    <row r="490" spans="1:23" ht="15.75" thickBot="1" x14ac:dyDescent="0.3">
      <c r="A490" s="5">
        <v>489</v>
      </c>
      <c r="B490" s="6">
        <v>40565</v>
      </c>
      <c r="C490" s="5">
        <v>1</v>
      </c>
      <c r="D490" s="5">
        <v>0</v>
      </c>
      <c r="E490" s="5">
        <v>1</v>
      </c>
      <c r="F490" s="5">
        <v>10</v>
      </c>
      <c r="G490" s="7" t="b">
        <v>0</v>
      </c>
      <c r="H490" s="5">
        <v>6</v>
      </c>
      <c r="I490" s="5">
        <v>2</v>
      </c>
      <c r="J490" s="5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  <c r="Q490" t="s">
        <v>21</v>
      </c>
      <c r="R490" t="s">
        <v>26</v>
      </c>
      <c r="S490" s="8" t="str">
        <f t="shared" si="21"/>
        <v>Normal</v>
      </c>
      <c r="T490" s="8" t="str">
        <f t="shared" si="22"/>
        <v>Medium</v>
      </c>
      <c r="U490" s="8" t="str">
        <f t="shared" si="23"/>
        <v>Morning</v>
      </c>
      <c r="V490" s="8"/>
      <c r="W490" s="8"/>
    </row>
    <row r="491" spans="1:23" ht="15.75" thickBot="1" x14ac:dyDescent="0.3">
      <c r="A491" s="5">
        <v>490</v>
      </c>
      <c r="B491" s="6">
        <v>40565</v>
      </c>
      <c r="C491" s="5">
        <v>1</v>
      </c>
      <c r="D491" s="5">
        <v>0</v>
      </c>
      <c r="E491" s="5">
        <v>1</v>
      </c>
      <c r="F491" s="5">
        <v>11</v>
      </c>
      <c r="G491" s="7" t="b">
        <v>0</v>
      </c>
      <c r="H491" s="5">
        <v>6</v>
      </c>
      <c r="I491" s="5">
        <v>2</v>
      </c>
      <c r="J491" s="5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  <c r="Q491" t="s">
        <v>21</v>
      </c>
      <c r="R491" t="s">
        <v>26</v>
      </c>
      <c r="S491" s="8" t="str">
        <f t="shared" si="21"/>
        <v>Normal</v>
      </c>
      <c r="T491" s="8" t="str">
        <f t="shared" si="22"/>
        <v>Medium</v>
      </c>
      <c r="U491" s="8" t="str">
        <f t="shared" si="23"/>
        <v>Morning</v>
      </c>
      <c r="V491" s="8"/>
      <c r="W491" s="8"/>
    </row>
    <row r="492" spans="1:23" ht="15.75" thickBot="1" x14ac:dyDescent="0.3">
      <c r="A492" s="5">
        <v>491</v>
      </c>
      <c r="B492" s="6">
        <v>40565</v>
      </c>
      <c r="C492" s="5">
        <v>1</v>
      </c>
      <c r="D492" s="5">
        <v>0</v>
      </c>
      <c r="E492" s="5">
        <v>1</v>
      </c>
      <c r="F492" s="5">
        <v>12</v>
      </c>
      <c r="G492" s="7" t="b">
        <v>0</v>
      </c>
      <c r="H492" s="5">
        <v>6</v>
      </c>
      <c r="I492" s="5">
        <v>2</v>
      </c>
      <c r="J492" s="5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  <c r="Q492" t="s">
        <v>21</v>
      </c>
      <c r="R492" t="s">
        <v>26</v>
      </c>
      <c r="S492" s="8" t="str">
        <f t="shared" si="21"/>
        <v>Normal</v>
      </c>
      <c r="T492" s="8" t="str">
        <f t="shared" si="22"/>
        <v>Medium</v>
      </c>
      <c r="U492" s="8" t="str">
        <f t="shared" si="23"/>
        <v>Afternoon</v>
      </c>
      <c r="V492" s="8"/>
      <c r="W492" s="8"/>
    </row>
    <row r="493" spans="1:23" ht="15.75" thickBot="1" x14ac:dyDescent="0.3">
      <c r="A493" s="5">
        <v>492</v>
      </c>
      <c r="B493" s="6">
        <v>40565</v>
      </c>
      <c r="C493" s="5">
        <v>1</v>
      </c>
      <c r="D493" s="5">
        <v>0</v>
      </c>
      <c r="E493" s="5">
        <v>1</v>
      </c>
      <c r="F493" s="5">
        <v>13</v>
      </c>
      <c r="G493" s="7" t="b">
        <v>0</v>
      </c>
      <c r="H493" s="5">
        <v>6</v>
      </c>
      <c r="I493" s="5">
        <v>1</v>
      </c>
      <c r="J493" s="5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  <c r="Q493" t="s">
        <v>21</v>
      </c>
      <c r="R493" t="s">
        <v>22</v>
      </c>
      <c r="S493" s="8" t="str">
        <f t="shared" si="21"/>
        <v>Normal</v>
      </c>
      <c r="T493" s="8" t="str">
        <f t="shared" si="22"/>
        <v>Medium</v>
      </c>
      <c r="U493" s="8" t="str">
        <f t="shared" si="23"/>
        <v>Afternoon</v>
      </c>
      <c r="V493" s="8"/>
      <c r="W493" s="8"/>
    </row>
    <row r="494" spans="1:23" ht="15.75" thickBot="1" x14ac:dyDescent="0.3">
      <c r="A494" s="5">
        <v>493</v>
      </c>
      <c r="B494" s="6">
        <v>40565</v>
      </c>
      <c r="C494" s="5">
        <v>1</v>
      </c>
      <c r="D494" s="5">
        <v>0</v>
      </c>
      <c r="E494" s="5">
        <v>1</v>
      </c>
      <c r="F494" s="5">
        <v>14</v>
      </c>
      <c r="G494" s="7" t="b">
        <v>0</v>
      </c>
      <c r="H494" s="5">
        <v>6</v>
      </c>
      <c r="I494" s="5">
        <v>1</v>
      </c>
      <c r="J494" s="5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  <c r="Q494" t="s">
        <v>21</v>
      </c>
      <c r="R494" t="s">
        <v>22</v>
      </c>
      <c r="S494" s="8" t="str">
        <f t="shared" si="21"/>
        <v>Normal</v>
      </c>
      <c r="T494" s="8" t="str">
        <f t="shared" si="22"/>
        <v>Medium</v>
      </c>
      <c r="U494" s="8" t="str">
        <f t="shared" si="23"/>
        <v>Afternoon</v>
      </c>
      <c r="V494" s="8"/>
      <c r="W494" s="8"/>
    </row>
    <row r="495" spans="1:23" ht="15.75" thickBot="1" x14ac:dyDescent="0.3">
      <c r="A495" s="5">
        <v>494</v>
      </c>
      <c r="B495" s="6">
        <v>40565</v>
      </c>
      <c r="C495" s="5">
        <v>1</v>
      </c>
      <c r="D495" s="5">
        <v>0</v>
      </c>
      <c r="E495" s="5">
        <v>1</v>
      </c>
      <c r="F495" s="5">
        <v>15</v>
      </c>
      <c r="G495" s="7" t="b">
        <v>0</v>
      </c>
      <c r="H495" s="5">
        <v>6</v>
      </c>
      <c r="I495" s="5">
        <v>1</v>
      </c>
      <c r="J495" s="5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  <c r="Q495" t="s">
        <v>21</v>
      </c>
      <c r="R495" t="s">
        <v>22</v>
      </c>
      <c r="S495" s="8" t="str">
        <f t="shared" si="21"/>
        <v>Normal</v>
      </c>
      <c r="T495" s="8" t="str">
        <f t="shared" si="22"/>
        <v>Medium</v>
      </c>
      <c r="U495" s="8" t="str">
        <f t="shared" si="23"/>
        <v>Afternoon</v>
      </c>
      <c r="V495" s="8"/>
      <c r="W495" s="8"/>
    </row>
    <row r="496" spans="1:23" ht="15.75" thickBot="1" x14ac:dyDescent="0.3">
      <c r="A496" s="5">
        <v>495</v>
      </c>
      <c r="B496" s="6">
        <v>40565</v>
      </c>
      <c r="C496" s="5">
        <v>1</v>
      </c>
      <c r="D496" s="5">
        <v>0</v>
      </c>
      <c r="E496" s="5">
        <v>1</v>
      </c>
      <c r="F496" s="5">
        <v>16</v>
      </c>
      <c r="G496" s="7" t="b">
        <v>0</v>
      </c>
      <c r="H496" s="5">
        <v>6</v>
      </c>
      <c r="I496" s="5">
        <v>1</v>
      </c>
      <c r="J496" s="5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  <c r="Q496" t="s">
        <v>21</v>
      </c>
      <c r="R496" t="s">
        <v>22</v>
      </c>
      <c r="S496" s="8" t="str">
        <f t="shared" si="21"/>
        <v>Normal</v>
      </c>
      <c r="T496" s="8" t="str">
        <f t="shared" si="22"/>
        <v>Medium</v>
      </c>
      <c r="U496" s="8" t="str">
        <f t="shared" si="23"/>
        <v>Afternoon</v>
      </c>
      <c r="V496" s="8"/>
      <c r="W496" s="8"/>
    </row>
    <row r="497" spans="1:23" ht="15.75" thickBot="1" x14ac:dyDescent="0.3">
      <c r="A497" s="5">
        <v>496</v>
      </c>
      <c r="B497" s="6">
        <v>40565</v>
      </c>
      <c r="C497" s="5">
        <v>1</v>
      </c>
      <c r="D497" s="5">
        <v>0</v>
      </c>
      <c r="E497" s="5">
        <v>1</v>
      </c>
      <c r="F497" s="5">
        <v>17</v>
      </c>
      <c r="G497" s="7" t="b">
        <v>0</v>
      </c>
      <c r="H497" s="5">
        <v>6</v>
      </c>
      <c r="I497" s="5">
        <v>1</v>
      </c>
      <c r="J497" s="5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  <c r="Q497" t="s">
        <v>21</v>
      </c>
      <c r="R497" t="s">
        <v>22</v>
      </c>
      <c r="S497" s="8" t="str">
        <f t="shared" si="21"/>
        <v>Rush Hour</v>
      </c>
      <c r="T497" s="8" t="str">
        <f t="shared" si="22"/>
        <v>Medium</v>
      </c>
      <c r="U497" s="8" t="str">
        <f t="shared" si="23"/>
        <v>Afternoon</v>
      </c>
      <c r="V497" s="8"/>
      <c r="W497" s="8"/>
    </row>
    <row r="498" spans="1:23" ht="15.75" thickBot="1" x14ac:dyDescent="0.3">
      <c r="A498" s="5">
        <v>497</v>
      </c>
      <c r="B498" s="6">
        <v>40565</v>
      </c>
      <c r="C498" s="5">
        <v>1</v>
      </c>
      <c r="D498" s="5">
        <v>0</v>
      </c>
      <c r="E498" s="5">
        <v>1</v>
      </c>
      <c r="F498" s="5">
        <v>18</v>
      </c>
      <c r="G498" s="7" t="b">
        <v>0</v>
      </c>
      <c r="H498" s="5">
        <v>6</v>
      </c>
      <c r="I498" s="5">
        <v>1</v>
      </c>
      <c r="J498" s="5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  <c r="Q498" t="s">
        <v>21</v>
      </c>
      <c r="R498" t="s">
        <v>22</v>
      </c>
      <c r="S498" s="8" t="str">
        <f t="shared" si="21"/>
        <v>Rush Hour</v>
      </c>
      <c r="T498" s="8" t="str">
        <f t="shared" si="22"/>
        <v>Medium</v>
      </c>
      <c r="U498" s="8" t="str">
        <f t="shared" si="23"/>
        <v>Evening</v>
      </c>
      <c r="V498" s="8"/>
      <c r="W498" s="8"/>
    </row>
    <row r="499" spans="1:23" ht="15.75" thickBot="1" x14ac:dyDescent="0.3">
      <c r="A499" s="5">
        <v>498</v>
      </c>
      <c r="B499" s="6">
        <v>40565</v>
      </c>
      <c r="C499" s="5">
        <v>1</v>
      </c>
      <c r="D499" s="5">
        <v>0</v>
      </c>
      <c r="E499" s="5">
        <v>1</v>
      </c>
      <c r="F499" s="5">
        <v>19</v>
      </c>
      <c r="G499" s="7" t="b">
        <v>0</v>
      </c>
      <c r="H499" s="5">
        <v>6</v>
      </c>
      <c r="I499" s="5">
        <v>1</v>
      </c>
      <c r="J499" s="5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  <c r="Q499" t="s">
        <v>21</v>
      </c>
      <c r="R499" t="s">
        <v>22</v>
      </c>
      <c r="S499" s="8" t="str">
        <f t="shared" si="21"/>
        <v>Rush Hour</v>
      </c>
      <c r="T499" s="8" t="str">
        <f t="shared" si="22"/>
        <v>Medium</v>
      </c>
      <c r="U499" s="8" t="str">
        <f t="shared" si="23"/>
        <v>Evening</v>
      </c>
      <c r="V499" s="8"/>
      <c r="W499" s="8"/>
    </row>
    <row r="500" spans="1:23" ht="15.75" thickBot="1" x14ac:dyDescent="0.3">
      <c r="A500" s="5">
        <v>499</v>
      </c>
      <c r="B500" s="6">
        <v>40565</v>
      </c>
      <c r="C500" s="5">
        <v>1</v>
      </c>
      <c r="D500" s="5">
        <v>0</v>
      </c>
      <c r="E500" s="5">
        <v>1</v>
      </c>
      <c r="F500" s="5">
        <v>20</v>
      </c>
      <c r="G500" s="7" t="b">
        <v>0</v>
      </c>
      <c r="H500" s="5">
        <v>6</v>
      </c>
      <c r="I500" s="5">
        <v>1</v>
      </c>
      <c r="J500" s="5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  <c r="Q500" t="s">
        <v>21</v>
      </c>
      <c r="R500" t="s">
        <v>22</v>
      </c>
      <c r="S500" s="8" t="str">
        <f t="shared" si="21"/>
        <v>Normal</v>
      </c>
      <c r="T500" s="8" t="str">
        <f t="shared" si="22"/>
        <v>Low</v>
      </c>
      <c r="U500" s="8" t="str">
        <f t="shared" si="23"/>
        <v>Evening</v>
      </c>
      <c r="V500" s="8"/>
      <c r="W500" s="8"/>
    </row>
    <row r="501" spans="1:23" ht="15.75" thickBot="1" x14ac:dyDescent="0.3">
      <c r="A501" s="5">
        <v>500</v>
      </c>
      <c r="B501" s="6">
        <v>40565</v>
      </c>
      <c r="C501" s="5">
        <v>1</v>
      </c>
      <c r="D501" s="5">
        <v>0</v>
      </c>
      <c r="E501" s="5">
        <v>1</v>
      </c>
      <c r="F501" s="5">
        <v>21</v>
      </c>
      <c r="G501" s="7" t="b">
        <v>0</v>
      </c>
      <c r="H501" s="5">
        <v>6</v>
      </c>
      <c r="I501" s="5">
        <v>1</v>
      </c>
      <c r="J501" s="5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  <c r="Q501" t="s">
        <v>21</v>
      </c>
      <c r="R501" t="s">
        <v>22</v>
      </c>
      <c r="S501" s="8" t="str">
        <f t="shared" si="21"/>
        <v>Normal</v>
      </c>
      <c r="T501" s="8" t="str">
        <f t="shared" si="22"/>
        <v>Low</v>
      </c>
      <c r="U501" s="8" t="str">
        <f t="shared" si="23"/>
        <v>Evening</v>
      </c>
      <c r="V501" s="8"/>
      <c r="W501" s="8"/>
    </row>
    <row r="502" spans="1:23" ht="15.75" thickBot="1" x14ac:dyDescent="0.3">
      <c r="A502" s="5">
        <v>501</v>
      </c>
      <c r="B502" s="6">
        <v>40565</v>
      </c>
      <c r="C502" s="5">
        <v>1</v>
      </c>
      <c r="D502" s="5">
        <v>0</v>
      </c>
      <c r="E502" s="5">
        <v>1</v>
      </c>
      <c r="F502" s="5">
        <v>22</v>
      </c>
      <c r="G502" s="7" t="b">
        <v>0</v>
      </c>
      <c r="H502" s="5">
        <v>6</v>
      </c>
      <c r="I502" s="5">
        <v>1</v>
      </c>
      <c r="J502" s="5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  <c r="Q502" t="s">
        <v>21</v>
      </c>
      <c r="R502" t="s">
        <v>22</v>
      </c>
      <c r="S502" s="8" t="str">
        <f t="shared" si="21"/>
        <v>Normal</v>
      </c>
      <c r="T502" s="8" t="str">
        <f t="shared" si="22"/>
        <v>Low</v>
      </c>
      <c r="U502" s="8" t="str">
        <f t="shared" si="23"/>
        <v>Evening</v>
      </c>
      <c r="V502" s="8"/>
      <c r="W502" s="8"/>
    </row>
    <row r="503" spans="1:23" ht="15.75" thickBot="1" x14ac:dyDescent="0.3">
      <c r="A503" s="5">
        <v>502</v>
      </c>
      <c r="B503" s="6">
        <v>40565</v>
      </c>
      <c r="C503" s="5">
        <v>1</v>
      </c>
      <c r="D503" s="5">
        <v>0</v>
      </c>
      <c r="E503" s="5">
        <v>1</v>
      </c>
      <c r="F503" s="5">
        <v>23</v>
      </c>
      <c r="G503" s="7" t="b">
        <v>0</v>
      </c>
      <c r="H503" s="5">
        <v>6</v>
      </c>
      <c r="I503" s="5">
        <v>1</v>
      </c>
      <c r="J503" s="5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  <c r="Q503" t="s">
        <v>21</v>
      </c>
      <c r="R503" t="s">
        <v>22</v>
      </c>
      <c r="S503" s="8" t="str">
        <f t="shared" si="21"/>
        <v>Normal</v>
      </c>
      <c r="T503" s="8" t="str">
        <f t="shared" si="22"/>
        <v>Low</v>
      </c>
      <c r="U503" s="8" t="str">
        <f t="shared" si="23"/>
        <v>Evening</v>
      </c>
      <c r="V503" s="8"/>
      <c r="W503" s="8"/>
    </row>
    <row r="504" spans="1:23" ht="15.75" thickBot="1" x14ac:dyDescent="0.3">
      <c r="A504" s="5">
        <v>503</v>
      </c>
      <c r="B504" s="6">
        <v>40566</v>
      </c>
      <c r="C504" s="5">
        <v>1</v>
      </c>
      <c r="D504" s="5">
        <v>0</v>
      </c>
      <c r="E504" s="5">
        <v>1</v>
      </c>
      <c r="F504" s="5">
        <v>0</v>
      </c>
      <c r="G504" s="7" t="b">
        <v>0</v>
      </c>
      <c r="H504" s="5">
        <v>0</v>
      </c>
      <c r="I504" s="5">
        <v>1</v>
      </c>
      <c r="J504" s="5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  <c r="Q504" t="s">
        <v>47</v>
      </c>
      <c r="R504" t="s">
        <v>22</v>
      </c>
      <c r="S504" s="8" t="str">
        <f t="shared" si="21"/>
        <v>Normal</v>
      </c>
      <c r="T504" s="8" t="str">
        <f t="shared" si="22"/>
        <v>Low</v>
      </c>
      <c r="U504" s="8" t="str">
        <f t="shared" si="23"/>
        <v>Night</v>
      </c>
      <c r="V504" s="8"/>
      <c r="W504" s="8"/>
    </row>
    <row r="505" spans="1:23" ht="15.75" thickBot="1" x14ac:dyDescent="0.3">
      <c r="A505" s="5">
        <v>504</v>
      </c>
      <c r="B505" s="6">
        <v>40566</v>
      </c>
      <c r="C505" s="5">
        <v>1</v>
      </c>
      <c r="D505" s="5">
        <v>0</v>
      </c>
      <c r="E505" s="5">
        <v>1</v>
      </c>
      <c r="F505" s="5">
        <v>1</v>
      </c>
      <c r="G505" s="7" t="b">
        <v>0</v>
      </c>
      <c r="H505" s="5">
        <v>0</v>
      </c>
      <c r="I505" s="5">
        <v>1</v>
      </c>
      <c r="J505" s="5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  <c r="Q505" t="s">
        <v>47</v>
      </c>
      <c r="R505" t="s">
        <v>22</v>
      </c>
      <c r="S505" s="8" t="str">
        <f t="shared" si="21"/>
        <v>Normal</v>
      </c>
      <c r="T505" s="8" t="str">
        <f t="shared" si="22"/>
        <v>Low</v>
      </c>
      <c r="U505" s="8" t="str">
        <f t="shared" si="23"/>
        <v>Night</v>
      </c>
      <c r="V505" s="8"/>
      <c r="W505" s="8"/>
    </row>
    <row r="506" spans="1:23" ht="15.75" thickBot="1" x14ac:dyDescent="0.3">
      <c r="A506" s="5">
        <v>505</v>
      </c>
      <c r="B506" s="6">
        <v>40566</v>
      </c>
      <c r="C506" s="5">
        <v>1</v>
      </c>
      <c r="D506" s="5">
        <v>0</v>
      </c>
      <c r="E506" s="5">
        <v>1</v>
      </c>
      <c r="F506" s="5">
        <v>2</v>
      </c>
      <c r="G506" s="7" t="b">
        <v>0</v>
      </c>
      <c r="H506" s="5">
        <v>0</v>
      </c>
      <c r="I506" s="5">
        <v>1</v>
      </c>
      <c r="J506" s="5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  <c r="Q506" t="s">
        <v>47</v>
      </c>
      <c r="R506" t="s">
        <v>22</v>
      </c>
      <c r="S506" s="8" t="str">
        <f t="shared" si="21"/>
        <v>Normal</v>
      </c>
      <c r="T506" s="8" t="str">
        <f t="shared" si="22"/>
        <v>Low</v>
      </c>
      <c r="U506" s="8" t="str">
        <f t="shared" si="23"/>
        <v>Night</v>
      </c>
      <c r="V506" s="8"/>
      <c r="W506" s="8"/>
    </row>
    <row r="507" spans="1:23" ht="15.75" thickBot="1" x14ac:dyDescent="0.3">
      <c r="A507" s="5">
        <v>506</v>
      </c>
      <c r="B507" s="6">
        <v>40566</v>
      </c>
      <c r="C507" s="5">
        <v>1</v>
      </c>
      <c r="D507" s="5">
        <v>0</v>
      </c>
      <c r="E507" s="5">
        <v>1</v>
      </c>
      <c r="F507" s="5">
        <v>3</v>
      </c>
      <c r="G507" s="7" t="b">
        <v>0</v>
      </c>
      <c r="H507" s="5">
        <v>0</v>
      </c>
      <c r="I507" s="5">
        <v>1</v>
      </c>
      <c r="J507" s="5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  <c r="Q507" t="s">
        <v>47</v>
      </c>
      <c r="R507" t="s">
        <v>22</v>
      </c>
      <c r="S507" s="8" t="str">
        <f t="shared" si="21"/>
        <v>Normal</v>
      </c>
      <c r="T507" s="8" t="str">
        <f t="shared" si="22"/>
        <v>Low</v>
      </c>
      <c r="U507" s="8" t="str">
        <f t="shared" si="23"/>
        <v>Night</v>
      </c>
      <c r="V507" s="8"/>
      <c r="W507" s="8"/>
    </row>
    <row r="508" spans="1:23" ht="15.75" thickBot="1" x14ac:dyDescent="0.3">
      <c r="A508" s="5">
        <v>507</v>
      </c>
      <c r="B508" s="6">
        <v>40566</v>
      </c>
      <c r="C508" s="5">
        <v>1</v>
      </c>
      <c r="D508" s="5">
        <v>0</v>
      </c>
      <c r="E508" s="5">
        <v>1</v>
      </c>
      <c r="F508" s="5">
        <v>5</v>
      </c>
      <c r="G508" s="7" t="b">
        <v>0</v>
      </c>
      <c r="H508" s="5">
        <v>0</v>
      </c>
      <c r="I508" s="5">
        <v>2</v>
      </c>
      <c r="J508" s="5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  <c r="Q508" t="s">
        <v>47</v>
      </c>
      <c r="R508" t="s">
        <v>26</v>
      </c>
      <c r="S508" s="8" t="str">
        <f t="shared" si="21"/>
        <v>Normal</v>
      </c>
      <c r="T508" s="8" t="str">
        <f t="shared" si="22"/>
        <v>Low</v>
      </c>
      <c r="U508" s="8" t="str">
        <f t="shared" si="23"/>
        <v>Night</v>
      </c>
      <c r="V508" s="8"/>
      <c r="W508" s="8"/>
    </row>
    <row r="509" spans="1:23" ht="15.75" thickBot="1" x14ac:dyDescent="0.3">
      <c r="A509" s="5">
        <v>508</v>
      </c>
      <c r="B509" s="6">
        <v>40566</v>
      </c>
      <c r="C509" s="5">
        <v>1</v>
      </c>
      <c r="D509" s="5">
        <v>0</v>
      </c>
      <c r="E509" s="5">
        <v>1</v>
      </c>
      <c r="F509" s="5">
        <v>6</v>
      </c>
      <c r="G509" s="7" t="b">
        <v>0</v>
      </c>
      <c r="H509" s="5">
        <v>0</v>
      </c>
      <c r="I509" s="5">
        <v>2</v>
      </c>
      <c r="J509" s="5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  <c r="Q509" t="s">
        <v>47</v>
      </c>
      <c r="R509" t="s">
        <v>26</v>
      </c>
      <c r="S509" s="8" t="str">
        <f t="shared" si="21"/>
        <v>Normal</v>
      </c>
      <c r="T509" s="8" t="str">
        <f t="shared" si="22"/>
        <v>Low</v>
      </c>
      <c r="U509" s="8" t="str">
        <f t="shared" si="23"/>
        <v>Morning</v>
      </c>
      <c r="V509" s="8"/>
      <c r="W509" s="8"/>
    </row>
    <row r="510" spans="1:23" ht="15.75" thickBot="1" x14ac:dyDescent="0.3">
      <c r="A510" s="5">
        <v>509</v>
      </c>
      <c r="B510" s="6">
        <v>40566</v>
      </c>
      <c r="C510" s="5">
        <v>1</v>
      </c>
      <c r="D510" s="5">
        <v>0</v>
      </c>
      <c r="E510" s="5">
        <v>1</v>
      </c>
      <c r="F510" s="5">
        <v>7</v>
      </c>
      <c r="G510" s="7" t="b">
        <v>0</v>
      </c>
      <c r="H510" s="5">
        <v>0</v>
      </c>
      <c r="I510" s="5">
        <v>1</v>
      </c>
      <c r="J510" s="5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  <c r="Q510" t="s">
        <v>47</v>
      </c>
      <c r="R510" t="s">
        <v>22</v>
      </c>
      <c r="S510" s="8" t="str">
        <f t="shared" si="21"/>
        <v>Rush Hour</v>
      </c>
      <c r="T510" s="8" t="str">
        <f t="shared" si="22"/>
        <v>Low</v>
      </c>
      <c r="U510" s="8" t="str">
        <f t="shared" si="23"/>
        <v>Morning</v>
      </c>
      <c r="V510" s="8"/>
      <c r="W510" s="8"/>
    </row>
    <row r="511" spans="1:23" ht="15.75" thickBot="1" x14ac:dyDescent="0.3">
      <c r="A511" s="5">
        <v>510</v>
      </c>
      <c r="B511" s="6">
        <v>40566</v>
      </c>
      <c r="C511" s="5">
        <v>1</v>
      </c>
      <c r="D511" s="5">
        <v>0</v>
      </c>
      <c r="E511" s="5">
        <v>1</v>
      </c>
      <c r="F511" s="5">
        <v>8</v>
      </c>
      <c r="G511" s="7" t="b">
        <v>0</v>
      </c>
      <c r="H511" s="5">
        <v>0</v>
      </c>
      <c r="I511" s="5">
        <v>1</v>
      </c>
      <c r="J511" s="5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  <c r="Q511" t="s">
        <v>47</v>
      </c>
      <c r="R511" t="s">
        <v>22</v>
      </c>
      <c r="S511" s="8" t="str">
        <f t="shared" si="21"/>
        <v>Rush Hour</v>
      </c>
      <c r="T511" s="8" t="str">
        <f t="shared" si="22"/>
        <v>Low</v>
      </c>
      <c r="U511" s="8" t="str">
        <f t="shared" si="23"/>
        <v>Morning</v>
      </c>
      <c r="V511" s="8"/>
      <c r="W511" s="8"/>
    </row>
    <row r="512" spans="1:23" ht="15.75" thickBot="1" x14ac:dyDescent="0.3">
      <c r="A512" s="5">
        <v>511</v>
      </c>
      <c r="B512" s="6">
        <v>40566</v>
      </c>
      <c r="C512" s="5">
        <v>1</v>
      </c>
      <c r="D512" s="5">
        <v>0</v>
      </c>
      <c r="E512" s="5">
        <v>1</v>
      </c>
      <c r="F512" s="5">
        <v>9</v>
      </c>
      <c r="G512" s="7" t="b">
        <v>0</v>
      </c>
      <c r="H512" s="5">
        <v>0</v>
      </c>
      <c r="I512" s="5">
        <v>1</v>
      </c>
      <c r="J512" s="5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  <c r="Q512" t="s">
        <v>47</v>
      </c>
      <c r="R512" t="s">
        <v>22</v>
      </c>
      <c r="S512" s="8" t="str">
        <f t="shared" si="21"/>
        <v>Rush Hour</v>
      </c>
      <c r="T512" s="8" t="str">
        <f t="shared" si="22"/>
        <v>Low</v>
      </c>
      <c r="U512" s="8" t="str">
        <f t="shared" si="23"/>
        <v>Morning</v>
      </c>
      <c r="V512" s="8"/>
      <c r="W512" s="8"/>
    </row>
    <row r="513" spans="1:23" ht="15.75" thickBot="1" x14ac:dyDescent="0.3">
      <c r="A513" s="5">
        <v>512</v>
      </c>
      <c r="B513" s="6">
        <v>40566</v>
      </c>
      <c r="C513" s="5">
        <v>1</v>
      </c>
      <c r="D513" s="5">
        <v>0</v>
      </c>
      <c r="E513" s="5">
        <v>1</v>
      </c>
      <c r="F513" s="5">
        <v>10</v>
      </c>
      <c r="G513" s="7" t="b">
        <v>0</v>
      </c>
      <c r="H513" s="5">
        <v>0</v>
      </c>
      <c r="I513" s="5">
        <v>1</v>
      </c>
      <c r="J513" s="5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  <c r="Q513" t="s">
        <v>47</v>
      </c>
      <c r="R513" t="s">
        <v>22</v>
      </c>
      <c r="S513" s="8" t="str">
        <f t="shared" si="21"/>
        <v>Normal</v>
      </c>
      <c r="T513" s="8" t="str">
        <f t="shared" si="22"/>
        <v>Medium</v>
      </c>
      <c r="U513" s="8" t="str">
        <f t="shared" si="23"/>
        <v>Morning</v>
      </c>
      <c r="V513" s="8"/>
      <c r="W513" s="8"/>
    </row>
    <row r="514" spans="1:23" ht="15.75" thickBot="1" x14ac:dyDescent="0.3">
      <c r="A514" s="5">
        <v>513</v>
      </c>
      <c r="B514" s="6">
        <v>40566</v>
      </c>
      <c r="C514" s="5">
        <v>1</v>
      </c>
      <c r="D514" s="5">
        <v>0</v>
      </c>
      <c r="E514" s="5">
        <v>1</v>
      </c>
      <c r="F514" s="5">
        <v>11</v>
      </c>
      <c r="G514" s="7" t="b">
        <v>0</v>
      </c>
      <c r="H514" s="5">
        <v>0</v>
      </c>
      <c r="I514" s="5">
        <v>1</v>
      </c>
      <c r="J514" s="5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  <c r="Q514" t="s">
        <v>47</v>
      </c>
      <c r="R514" t="s">
        <v>22</v>
      </c>
      <c r="S514" s="8" t="str">
        <f t="shared" si="21"/>
        <v>Normal</v>
      </c>
      <c r="T514" s="8" t="str">
        <f t="shared" si="22"/>
        <v>Medium</v>
      </c>
      <c r="U514" s="8" t="str">
        <f t="shared" si="23"/>
        <v>Morning</v>
      </c>
      <c r="V514" s="8"/>
      <c r="W514" s="8"/>
    </row>
    <row r="515" spans="1:23" ht="15.75" thickBot="1" x14ac:dyDescent="0.3">
      <c r="A515" s="5">
        <v>514</v>
      </c>
      <c r="B515" s="6">
        <v>40566</v>
      </c>
      <c r="C515" s="5">
        <v>1</v>
      </c>
      <c r="D515" s="5">
        <v>0</v>
      </c>
      <c r="E515" s="5">
        <v>1</v>
      </c>
      <c r="F515" s="5">
        <v>12</v>
      </c>
      <c r="G515" s="7" t="b">
        <v>0</v>
      </c>
      <c r="H515" s="5">
        <v>0</v>
      </c>
      <c r="I515" s="5">
        <v>1</v>
      </c>
      <c r="J515" s="5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  <c r="Q515" t="s">
        <v>47</v>
      </c>
      <c r="R515" t="s">
        <v>22</v>
      </c>
      <c r="S515" s="8" t="str">
        <f t="shared" ref="S515:S578" si="24">IF(OR(AND(F515&gt;=7,F515&lt;=9),AND(F515&gt;=17,F515&lt;=19)),"Rush Hour","Normal")</f>
        <v>Normal</v>
      </c>
      <c r="T515" s="8" t="str">
        <f t="shared" ref="T515:T578" si="25">IF(P515&gt;150,"High",IF(P515&gt;50,"Medium","Low"))</f>
        <v>Medium</v>
      </c>
      <c r="U515" s="8" t="str">
        <f t="shared" ref="U515:U578" si="26">IF(F515&lt;6,"Night", IF(F515&lt;12,"Morning", IF(F515&lt;18,"Afternoon","Evening")))</f>
        <v>Afternoon</v>
      </c>
      <c r="V515" s="8"/>
      <c r="W515" s="8"/>
    </row>
    <row r="516" spans="1:23" ht="15.75" thickBot="1" x14ac:dyDescent="0.3">
      <c r="A516" s="5">
        <v>515</v>
      </c>
      <c r="B516" s="6">
        <v>40566</v>
      </c>
      <c r="C516" s="5">
        <v>1</v>
      </c>
      <c r="D516" s="5">
        <v>0</v>
      </c>
      <c r="E516" s="5">
        <v>1</v>
      </c>
      <c r="F516" s="5">
        <v>13</v>
      </c>
      <c r="G516" s="7" t="b">
        <v>0</v>
      </c>
      <c r="H516" s="5">
        <v>0</v>
      </c>
      <c r="I516" s="5">
        <v>1</v>
      </c>
      <c r="J516" s="5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  <c r="Q516" t="s">
        <v>47</v>
      </c>
      <c r="R516" t="s">
        <v>22</v>
      </c>
      <c r="S516" s="8" t="str">
        <f t="shared" si="24"/>
        <v>Normal</v>
      </c>
      <c r="T516" s="8" t="str">
        <f t="shared" si="25"/>
        <v>Medium</v>
      </c>
      <c r="U516" s="8" t="str">
        <f t="shared" si="26"/>
        <v>Afternoon</v>
      </c>
      <c r="V516" s="8"/>
      <c r="W516" s="8"/>
    </row>
    <row r="517" spans="1:23" ht="15.75" thickBot="1" x14ac:dyDescent="0.3">
      <c r="A517" s="5">
        <v>516</v>
      </c>
      <c r="B517" s="6">
        <v>40566</v>
      </c>
      <c r="C517" s="5">
        <v>1</v>
      </c>
      <c r="D517" s="5">
        <v>0</v>
      </c>
      <c r="E517" s="5">
        <v>1</v>
      </c>
      <c r="F517" s="5">
        <v>14</v>
      </c>
      <c r="G517" s="7" t="b">
        <v>0</v>
      </c>
      <c r="H517" s="5">
        <v>0</v>
      </c>
      <c r="I517" s="5">
        <v>1</v>
      </c>
      <c r="J517" s="5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  <c r="Q517" t="s">
        <v>47</v>
      </c>
      <c r="R517" t="s">
        <v>22</v>
      </c>
      <c r="S517" s="8" t="str">
        <f t="shared" si="24"/>
        <v>Normal</v>
      </c>
      <c r="T517" s="8" t="str">
        <f t="shared" si="25"/>
        <v>Medium</v>
      </c>
      <c r="U517" s="8" t="str">
        <f t="shared" si="26"/>
        <v>Afternoon</v>
      </c>
      <c r="V517" s="8"/>
      <c r="W517" s="8"/>
    </row>
    <row r="518" spans="1:23" ht="15.75" thickBot="1" x14ac:dyDescent="0.3">
      <c r="A518" s="5">
        <v>517</v>
      </c>
      <c r="B518" s="6">
        <v>40566</v>
      </c>
      <c r="C518" s="5">
        <v>1</v>
      </c>
      <c r="D518" s="5">
        <v>0</v>
      </c>
      <c r="E518" s="5">
        <v>1</v>
      </c>
      <c r="F518" s="5">
        <v>15</v>
      </c>
      <c r="G518" s="7" t="b">
        <v>0</v>
      </c>
      <c r="H518" s="5">
        <v>0</v>
      </c>
      <c r="I518" s="5">
        <v>1</v>
      </c>
      <c r="J518" s="5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  <c r="Q518" t="s">
        <v>47</v>
      </c>
      <c r="R518" t="s">
        <v>22</v>
      </c>
      <c r="S518" s="8" t="str">
        <f t="shared" si="24"/>
        <v>Normal</v>
      </c>
      <c r="T518" s="8" t="str">
        <f t="shared" si="25"/>
        <v>Medium</v>
      </c>
      <c r="U518" s="8" t="str">
        <f t="shared" si="26"/>
        <v>Afternoon</v>
      </c>
      <c r="V518" s="8"/>
      <c r="W518" s="8"/>
    </row>
    <row r="519" spans="1:23" ht="15.75" thickBot="1" x14ac:dyDescent="0.3">
      <c r="A519" s="5">
        <v>518</v>
      </c>
      <c r="B519" s="6">
        <v>40566</v>
      </c>
      <c r="C519" s="5">
        <v>1</v>
      </c>
      <c r="D519" s="5">
        <v>0</v>
      </c>
      <c r="E519" s="5">
        <v>1</v>
      </c>
      <c r="F519" s="5">
        <v>16</v>
      </c>
      <c r="G519" s="7" t="b">
        <v>0</v>
      </c>
      <c r="H519" s="5">
        <v>0</v>
      </c>
      <c r="I519" s="5">
        <v>1</v>
      </c>
      <c r="J519" s="5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  <c r="Q519" t="s">
        <v>47</v>
      </c>
      <c r="R519" t="s">
        <v>22</v>
      </c>
      <c r="S519" s="8" t="str">
        <f t="shared" si="24"/>
        <v>Normal</v>
      </c>
      <c r="T519" s="8" t="str">
        <f t="shared" si="25"/>
        <v>Medium</v>
      </c>
      <c r="U519" s="8" t="str">
        <f t="shared" si="26"/>
        <v>Afternoon</v>
      </c>
      <c r="V519" s="8"/>
      <c r="W519" s="8"/>
    </row>
    <row r="520" spans="1:23" ht="15.75" thickBot="1" x14ac:dyDescent="0.3">
      <c r="A520" s="5">
        <v>519</v>
      </c>
      <c r="B520" s="6">
        <v>40566</v>
      </c>
      <c r="C520" s="5">
        <v>1</v>
      </c>
      <c r="D520" s="5">
        <v>0</v>
      </c>
      <c r="E520" s="5">
        <v>1</v>
      </c>
      <c r="F520" s="5">
        <v>17</v>
      </c>
      <c r="G520" s="7" t="b">
        <v>0</v>
      </c>
      <c r="H520" s="5">
        <v>0</v>
      </c>
      <c r="I520" s="5">
        <v>1</v>
      </c>
      <c r="J520" s="5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  <c r="Q520" t="s">
        <v>47</v>
      </c>
      <c r="R520" t="s">
        <v>22</v>
      </c>
      <c r="S520" s="8" t="str">
        <f t="shared" si="24"/>
        <v>Rush Hour</v>
      </c>
      <c r="T520" s="8" t="str">
        <f t="shared" si="25"/>
        <v>Medium</v>
      </c>
      <c r="U520" s="8" t="str">
        <f t="shared" si="26"/>
        <v>Afternoon</v>
      </c>
      <c r="V520" s="8"/>
      <c r="W520" s="8"/>
    </row>
    <row r="521" spans="1:23" ht="15.75" thickBot="1" x14ac:dyDescent="0.3">
      <c r="A521" s="5">
        <v>520</v>
      </c>
      <c r="B521" s="6">
        <v>40566</v>
      </c>
      <c r="C521" s="5">
        <v>1</v>
      </c>
      <c r="D521" s="5">
        <v>0</v>
      </c>
      <c r="E521" s="5">
        <v>1</v>
      </c>
      <c r="F521" s="5">
        <v>18</v>
      </c>
      <c r="G521" s="7" t="b">
        <v>0</v>
      </c>
      <c r="H521" s="5">
        <v>0</v>
      </c>
      <c r="I521" s="5">
        <v>1</v>
      </c>
      <c r="J521" s="5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  <c r="Q521" t="s">
        <v>47</v>
      </c>
      <c r="R521" t="s">
        <v>22</v>
      </c>
      <c r="S521" s="8" t="str">
        <f t="shared" si="24"/>
        <v>Rush Hour</v>
      </c>
      <c r="T521" s="8" t="str">
        <f t="shared" si="25"/>
        <v>Low</v>
      </c>
      <c r="U521" s="8" t="str">
        <f t="shared" si="26"/>
        <v>Evening</v>
      </c>
      <c r="V521" s="8"/>
      <c r="W521" s="8"/>
    </row>
    <row r="522" spans="1:23" ht="15.75" thickBot="1" x14ac:dyDescent="0.3">
      <c r="A522" s="5">
        <v>521</v>
      </c>
      <c r="B522" s="6">
        <v>40566</v>
      </c>
      <c r="C522" s="5">
        <v>1</v>
      </c>
      <c r="D522" s="5">
        <v>0</v>
      </c>
      <c r="E522" s="5">
        <v>1</v>
      </c>
      <c r="F522" s="5">
        <v>19</v>
      </c>
      <c r="G522" s="7" t="b">
        <v>0</v>
      </c>
      <c r="H522" s="5">
        <v>0</v>
      </c>
      <c r="I522" s="5">
        <v>1</v>
      </c>
      <c r="J522" s="5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  <c r="Q522" t="s">
        <v>47</v>
      </c>
      <c r="R522" t="s">
        <v>22</v>
      </c>
      <c r="S522" s="8" t="str">
        <f t="shared" si="24"/>
        <v>Rush Hour</v>
      </c>
      <c r="T522" s="8" t="str">
        <f t="shared" si="25"/>
        <v>Low</v>
      </c>
      <c r="U522" s="8" t="str">
        <f t="shared" si="26"/>
        <v>Evening</v>
      </c>
      <c r="V522" s="8"/>
      <c r="W522" s="8"/>
    </row>
    <row r="523" spans="1:23" ht="15.75" thickBot="1" x14ac:dyDescent="0.3">
      <c r="A523" s="5">
        <v>522</v>
      </c>
      <c r="B523" s="6">
        <v>40566</v>
      </c>
      <c r="C523" s="5">
        <v>1</v>
      </c>
      <c r="D523" s="5">
        <v>0</v>
      </c>
      <c r="E523" s="5">
        <v>1</v>
      </c>
      <c r="F523" s="5">
        <v>20</v>
      </c>
      <c r="G523" s="7" t="b">
        <v>0</v>
      </c>
      <c r="H523" s="5">
        <v>0</v>
      </c>
      <c r="I523" s="5">
        <v>1</v>
      </c>
      <c r="J523" s="5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  <c r="Q523" t="s">
        <v>47</v>
      </c>
      <c r="R523" t="s">
        <v>22</v>
      </c>
      <c r="S523" s="8" t="str">
        <f t="shared" si="24"/>
        <v>Normal</v>
      </c>
      <c r="T523" s="8" t="str">
        <f t="shared" si="25"/>
        <v>Low</v>
      </c>
      <c r="U523" s="8" t="str">
        <f t="shared" si="26"/>
        <v>Evening</v>
      </c>
      <c r="V523" s="8"/>
      <c r="W523" s="8"/>
    </row>
    <row r="524" spans="1:23" ht="15.75" thickBot="1" x14ac:dyDescent="0.3">
      <c r="A524" s="5">
        <v>523</v>
      </c>
      <c r="B524" s="6">
        <v>40566</v>
      </c>
      <c r="C524" s="5">
        <v>1</v>
      </c>
      <c r="D524" s="5">
        <v>0</v>
      </c>
      <c r="E524" s="5">
        <v>1</v>
      </c>
      <c r="F524" s="5">
        <v>21</v>
      </c>
      <c r="G524" s="7" t="b">
        <v>0</v>
      </c>
      <c r="H524" s="5">
        <v>0</v>
      </c>
      <c r="I524" s="5">
        <v>1</v>
      </c>
      <c r="J524" s="5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  <c r="Q524" t="s">
        <v>47</v>
      </c>
      <c r="R524" t="s">
        <v>22</v>
      </c>
      <c r="S524" s="8" t="str">
        <f t="shared" si="24"/>
        <v>Normal</v>
      </c>
      <c r="T524" s="8" t="str">
        <f t="shared" si="25"/>
        <v>Low</v>
      </c>
      <c r="U524" s="8" t="str">
        <f t="shared" si="26"/>
        <v>Evening</v>
      </c>
      <c r="V524" s="8"/>
      <c r="W524" s="8"/>
    </row>
    <row r="525" spans="1:23" ht="15.75" thickBot="1" x14ac:dyDescent="0.3">
      <c r="A525" s="5">
        <v>524</v>
      </c>
      <c r="B525" s="6">
        <v>40566</v>
      </c>
      <c r="C525" s="5">
        <v>1</v>
      </c>
      <c r="D525" s="5">
        <v>0</v>
      </c>
      <c r="E525" s="5">
        <v>1</v>
      </c>
      <c r="F525" s="5">
        <v>22</v>
      </c>
      <c r="G525" s="7" t="b">
        <v>0</v>
      </c>
      <c r="H525" s="5">
        <v>0</v>
      </c>
      <c r="I525" s="5">
        <v>1</v>
      </c>
      <c r="J525" s="5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  <c r="Q525" t="s">
        <v>47</v>
      </c>
      <c r="R525" t="s">
        <v>22</v>
      </c>
      <c r="S525" s="8" t="str">
        <f t="shared" si="24"/>
        <v>Normal</v>
      </c>
      <c r="T525" s="8" t="str">
        <f t="shared" si="25"/>
        <v>Low</v>
      </c>
      <c r="U525" s="8" t="str">
        <f t="shared" si="26"/>
        <v>Evening</v>
      </c>
      <c r="V525" s="8"/>
      <c r="W525" s="8"/>
    </row>
    <row r="526" spans="1:23" ht="15.75" thickBot="1" x14ac:dyDescent="0.3">
      <c r="A526" s="5">
        <v>525</v>
      </c>
      <c r="B526" s="6">
        <v>40566</v>
      </c>
      <c r="C526" s="5">
        <v>1</v>
      </c>
      <c r="D526" s="5">
        <v>0</v>
      </c>
      <c r="E526" s="5">
        <v>1</v>
      </c>
      <c r="F526" s="5">
        <v>23</v>
      </c>
      <c r="G526" s="7" t="b">
        <v>0</v>
      </c>
      <c r="H526" s="5">
        <v>0</v>
      </c>
      <c r="I526" s="5">
        <v>1</v>
      </c>
      <c r="J526" s="5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  <c r="Q526" t="s">
        <v>47</v>
      </c>
      <c r="R526" t="s">
        <v>22</v>
      </c>
      <c r="S526" s="8" t="str">
        <f t="shared" si="24"/>
        <v>Normal</v>
      </c>
      <c r="T526" s="8" t="str">
        <f t="shared" si="25"/>
        <v>Low</v>
      </c>
      <c r="U526" s="8" t="str">
        <f t="shared" si="26"/>
        <v>Evening</v>
      </c>
      <c r="V526" s="8"/>
      <c r="W526" s="8"/>
    </row>
    <row r="527" spans="1:23" ht="15.75" thickBot="1" x14ac:dyDescent="0.3">
      <c r="A527" s="5">
        <v>526</v>
      </c>
      <c r="B527" s="6">
        <v>40567</v>
      </c>
      <c r="C527" s="5">
        <v>1</v>
      </c>
      <c r="D527" s="5">
        <v>0</v>
      </c>
      <c r="E527" s="5">
        <v>1</v>
      </c>
      <c r="F527" s="5">
        <v>0</v>
      </c>
      <c r="G527" s="7" t="b">
        <v>0</v>
      </c>
      <c r="H527" s="5">
        <v>1</v>
      </c>
      <c r="I527" s="5">
        <v>1</v>
      </c>
      <c r="J527" s="5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  <c r="Q527" t="s">
        <v>48</v>
      </c>
      <c r="R527" t="s">
        <v>22</v>
      </c>
      <c r="S527" s="8" t="str">
        <f t="shared" si="24"/>
        <v>Normal</v>
      </c>
      <c r="T527" s="8" t="str">
        <f t="shared" si="25"/>
        <v>Low</v>
      </c>
      <c r="U527" s="8" t="str">
        <f t="shared" si="26"/>
        <v>Night</v>
      </c>
      <c r="V527" s="8"/>
      <c r="W527" s="8"/>
    </row>
    <row r="528" spans="1:23" ht="15.75" thickBot="1" x14ac:dyDescent="0.3">
      <c r="A528" s="5">
        <v>527</v>
      </c>
      <c r="B528" s="6">
        <v>40567</v>
      </c>
      <c r="C528" s="5">
        <v>1</v>
      </c>
      <c r="D528" s="5">
        <v>0</v>
      </c>
      <c r="E528" s="5">
        <v>1</v>
      </c>
      <c r="F528" s="5">
        <v>1</v>
      </c>
      <c r="G528" s="7" t="b">
        <v>0</v>
      </c>
      <c r="H528" s="5">
        <v>1</v>
      </c>
      <c r="I528" s="5">
        <v>1</v>
      </c>
      <c r="J528" s="5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  <c r="Q528" t="s">
        <v>48</v>
      </c>
      <c r="R528" t="s">
        <v>22</v>
      </c>
      <c r="S528" s="8" t="str">
        <f t="shared" si="24"/>
        <v>Normal</v>
      </c>
      <c r="T528" s="8" t="str">
        <f t="shared" si="25"/>
        <v>Low</v>
      </c>
      <c r="U528" s="8" t="str">
        <f t="shared" si="26"/>
        <v>Night</v>
      </c>
      <c r="V528" s="8"/>
      <c r="W528" s="8"/>
    </row>
    <row r="529" spans="1:23" ht="15.75" thickBot="1" x14ac:dyDescent="0.3">
      <c r="A529" s="5">
        <v>528</v>
      </c>
      <c r="B529" s="6">
        <v>40567</v>
      </c>
      <c r="C529" s="5">
        <v>1</v>
      </c>
      <c r="D529" s="5">
        <v>0</v>
      </c>
      <c r="E529" s="5">
        <v>1</v>
      </c>
      <c r="F529" s="5">
        <v>3</v>
      </c>
      <c r="G529" s="7" t="b">
        <v>0</v>
      </c>
      <c r="H529" s="5">
        <v>1</v>
      </c>
      <c r="I529" s="5">
        <v>1</v>
      </c>
      <c r="J529" s="5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  <c r="Q529" t="s">
        <v>48</v>
      </c>
      <c r="R529" t="s">
        <v>22</v>
      </c>
      <c r="S529" s="8" t="str">
        <f t="shared" si="24"/>
        <v>Normal</v>
      </c>
      <c r="T529" s="8" t="str">
        <f t="shared" si="25"/>
        <v>Low</v>
      </c>
      <c r="U529" s="8" t="str">
        <f t="shared" si="26"/>
        <v>Night</v>
      </c>
      <c r="V529" s="8"/>
      <c r="W529" s="8"/>
    </row>
    <row r="530" spans="1:23" ht="15.75" thickBot="1" x14ac:dyDescent="0.3">
      <c r="A530" s="5">
        <v>529</v>
      </c>
      <c r="B530" s="6">
        <v>40567</v>
      </c>
      <c r="C530" s="5">
        <v>1</v>
      </c>
      <c r="D530" s="5">
        <v>0</v>
      </c>
      <c r="E530" s="5">
        <v>1</v>
      </c>
      <c r="F530" s="5">
        <v>4</v>
      </c>
      <c r="G530" s="7" t="b">
        <v>0</v>
      </c>
      <c r="H530" s="5">
        <v>1</v>
      </c>
      <c r="I530" s="5">
        <v>1</v>
      </c>
      <c r="J530" s="5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  <c r="Q530" t="s">
        <v>48</v>
      </c>
      <c r="R530" t="s">
        <v>22</v>
      </c>
      <c r="S530" s="8" t="str">
        <f t="shared" si="24"/>
        <v>Normal</v>
      </c>
      <c r="T530" s="8" t="str">
        <f t="shared" si="25"/>
        <v>Low</v>
      </c>
      <c r="U530" s="8" t="str">
        <f t="shared" si="26"/>
        <v>Night</v>
      </c>
      <c r="V530" s="8"/>
      <c r="W530" s="8"/>
    </row>
    <row r="531" spans="1:23" ht="15.75" thickBot="1" x14ac:dyDescent="0.3">
      <c r="A531" s="5">
        <v>530</v>
      </c>
      <c r="B531" s="6">
        <v>40567</v>
      </c>
      <c r="C531" s="5">
        <v>1</v>
      </c>
      <c r="D531" s="5">
        <v>0</v>
      </c>
      <c r="E531" s="5">
        <v>1</v>
      </c>
      <c r="F531" s="5">
        <v>5</v>
      </c>
      <c r="G531" s="7" t="b">
        <v>0</v>
      </c>
      <c r="H531" s="5">
        <v>1</v>
      </c>
      <c r="I531" s="5">
        <v>1</v>
      </c>
      <c r="J531" s="5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  <c r="Q531" t="s">
        <v>48</v>
      </c>
      <c r="R531" t="s">
        <v>22</v>
      </c>
      <c r="S531" s="8" t="str">
        <f t="shared" si="24"/>
        <v>Normal</v>
      </c>
      <c r="T531" s="8" t="str">
        <f t="shared" si="25"/>
        <v>Low</v>
      </c>
      <c r="U531" s="8" t="str">
        <f t="shared" si="26"/>
        <v>Night</v>
      </c>
      <c r="V531" s="8"/>
      <c r="W531" s="8"/>
    </row>
    <row r="532" spans="1:23" ht="15.75" thickBot="1" x14ac:dyDescent="0.3">
      <c r="A532" s="5">
        <v>531</v>
      </c>
      <c r="B532" s="6">
        <v>40567</v>
      </c>
      <c r="C532" s="5">
        <v>1</v>
      </c>
      <c r="D532" s="5">
        <v>0</v>
      </c>
      <c r="E532" s="5">
        <v>1</v>
      </c>
      <c r="F532" s="5">
        <v>6</v>
      </c>
      <c r="G532" s="7" t="b">
        <v>0</v>
      </c>
      <c r="H532" s="5">
        <v>1</v>
      </c>
      <c r="I532" s="5">
        <v>1</v>
      </c>
      <c r="J532" s="5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  <c r="Q532" t="s">
        <v>48</v>
      </c>
      <c r="R532" t="s">
        <v>22</v>
      </c>
      <c r="S532" s="8" t="str">
        <f t="shared" si="24"/>
        <v>Normal</v>
      </c>
      <c r="T532" s="8" t="str">
        <f t="shared" si="25"/>
        <v>Low</v>
      </c>
      <c r="U532" s="8" t="str">
        <f t="shared" si="26"/>
        <v>Morning</v>
      </c>
      <c r="V532" s="8"/>
      <c r="W532" s="8"/>
    </row>
    <row r="533" spans="1:23" ht="15.75" thickBot="1" x14ac:dyDescent="0.3">
      <c r="A533" s="5">
        <v>532</v>
      </c>
      <c r="B533" s="6">
        <v>40567</v>
      </c>
      <c r="C533" s="5">
        <v>1</v>
      </c>
      <c r="D533" s="5">
        <v>0</v>
      </c>
      <c r="E533" s="5">
        <v>1</v>
      </c>
      <c r="F533" s="5">
        <v>7</v>
      </c>
      <c r="G533" s="7" t="b">
        <v>0</v>
      </c>
      <c r="H533" s="5">
        <v>1</v>
      </c>
      <c r="I533" s="5">
        <v>1</v>
      </c>
      <c r="J533" s="5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  <c r="Q533" t="s">
        <v>48</v>
      </c>
      <c r="R533" t="s">
        <v>22</v>
      </c>
      <c r="S533" s="8" t="str">
        <f t="shared" si="24"/>
        <v>Rush Hour</v>
      </c>
      <c r="T533" s="8" t="str">
        <f t="shared" si="25"/>
        <v>Medium</v>
      </c>
      <c r="U533" s="8" t="str">
        <f t="shared" si="26"/>
        <v>Morning</v>
      </c>
      <c r="V533" s="8"/>
      <c r="W533" s="8"/>
    </row>
    <row r="534" spans="1:23" ht="15.75" thickBot="1" x14ac:dyDescent="0.3">
      <c r="A534" s="5">
        <v>533</v>
      </c>
      <c r="B534" s="6">
        <v>40567</v>
      </c>
      <c r="C534" s="5">
        <v>1</v>
      </c>
      <c r="D534" s="5">
        <v>0</v>
      </c>
      <c r="E534" s="5">
        <v>1</v>
      </c>
      <c r="F534" s="5">
        <v>8</v>
      </c>
      <c r="G534" s="7" t="b">
        <v>0</v>
      </c>
      <c r="H534" s="5">
        <v>1</v>
      </c>
      <c r="I534" s="5">
        <v>1</v>
      </c>
      <c r="J534" s="5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  <c r="Q534" t="s">
        <v>48</v>
      </c>
      <c r="R534" t="s">
        <v>22</v>
      </c>
      <c r="S534" s="8" t="str">
        <f t="shared" si="24"/>
        <v>Rush Hour</v>
      </c>
      <c r="T534" s="8" t="str">
        <f t="shared" si="25"/>
        <v>High</v>
      </c>
      <c r="U534" s="8" t="str">
        <f t="shared" si="26"/>
        <v>Morning</v>
      </c>
      <c r="V534" s="8"/>
      <c r="W534" s="8"/>
    </row>
    <row r="535" spans="1:23" ht="15.75" thickBot="1" x14ac:dyDescent="0.3">
      <c r="A535" s="5">
        <v>534</v>
      </c>
      <c r="B535" s="6">
        <v>40567</v>
      </c>
      <c r="C535" s="5">
        <v>1</v>
      </c>
      <c r="D535" s="5">
        <v>0</v>
      </c>
      <c r="E535" s="5">
        <v>1</v>
      </c>
      <c r="F535" s="5">
        <v>9</v>
      </c>
      <c r="G535" s="7" t="b">
        <v>0</v>
      </c>
      <c r="H535" s="5">
        <v>1</v>
      </c>
      <c r="I535" s="5">
        <v>1</v>
      </c>
      <c r="J535" s="5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  <c r="Q535" t="s">
        <v>48</v>
      </c>
      <c r="R535" t="s">
        <v>22</v>
      </c>
      <c r="S535" s="8" t="str">
        <f t="shared" si="24"/>
        <v>Rush Hour</v>
      </c>
      <c r="T535" s="8" t="str">
        <f t="shared" si="25"/>
        <v>Medium</v>
      </c>
      <c r="U535" s="8" t="str">
        <f t="shared" si="26"/>
        <v>Morning</v>
      </c>
      <c r="V535" s="8"/>
      <c r="W535" s="8"/>
    </row>
    <row r="536" spans="1:23" ht="15.75" thickBot="1" x14ac:dyDescent="0.3">
      <c r="A536" s="5">
        <v>535</v>
      </c>
      <c r="B536" s="6">
        <v>40567</v>
      </c>
      <c r="C536" s="5">
        <v>1</v>
      </c>
      <c r="D536" s="5">
        <v>0</v>
      </c>
      <c r="E536" s="5">
        <v>1</v>
      </c>
      <c r="F536" s="5">
        <v>10</v>
      </c>
      <c r="G536" s="7" t="b">
        <v>0</v>
      </c>
      <c r="H536" s="5">
        <v>1</v>
      </c>
      <c r="I536" s="5">
        <v>1</v>
      </c>
      <c r="J536" s="5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  <c r="Q536" t="s">
        <v>48</v>
      </c>
      <c r="R536" t="s">
        <v>22</v>
      </c>
      <c r="S536" s="8" t="str">
        <f t="shared" si="24"/>
        <v>Normal</v>
      </c>
      <c r="T536" s="8" t="str">
        <f t="shared" si="25"/>
        <v>Low</v>
      </c>
      <c r="U536" s="8" t="str">
        <f t="shared" si="26"/>
        <v>Morning</v>
      </c>
      <c r="V536" s="8"/>
      <c r="W536" s="8"/>
    </row>
    <row r="537" spans="1:23" ht="15.75" thickBot="1" x14ac:dyDescent="0.3">
      <c r="A537" s="5">
        <v>536</v>
      </c>
      <c r="B537" s="6">
        <v>40567</v>
      </c>
      <c r="C537" s="5">
        <v>1</v>
      </c>
      <c r="D537" s="5">
        <v>0</v>
      </c>
      <c r="E537" s="5">
        <v>1</v>
      </c>
      <c r="F537" s="5">
        <v>11</v>
      </c>
      <c r="G537" s="7" t="b">
        <v>0</v>
      </c>
      <c r="H537" s="5">
        <v>1</v>
      </c>
      <c r="I537" s="5">
        <v>1</v>
      </c>
      <c r="J537" s="5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  <c r="Q537" t="s">
        <v>48</v>
      </c>
      <c r="R537" t="s">
        <v>22</v>
      </c>
      <c r="S537" s="8" t="str">
        <f t="shared" si="24"/>
        <v>Normal</v>
      </c>
      <c r="T537" s="8" t="str">
        <f t="shared" si="25"/>
        <v>Low</v>
      </c>
      <c r="U537" s="8" t="str">
        <f t="shared" si="26"/>
        <v>Morning</v>
      </c>
      <c r="V537" s="8"/>
      <c r="W537" s="8"/>
    </row>
    <row r="538" spans="1:23" ht="15.75" thickBot="1" x14ac:dyDescent="0.3">
      <c r="A538" s="5">
        <v>537</v>
      </c>
      <c r="B538" s="6">
        <v>40567</v>
      </c>
      <c r="C538" s="5">
        <v>1</v>
      </c>
      <c r="D538" s="5">
        <v>0</v>
      </c>
      <c r="E538" s="5">
        <v>1</v>
      </c>
      <c r="F538" s="5">
        <v>12</v>
      </c>
      <c r="G538" s="7" t="b">
        <v>0</v>
      </c>
      <c r="H538" s="5">
        <v>1</v>
      </c>
      <c r="I538" s="5">
        <v>2</v>
      </c>
      <c r="J538" s="5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  <c r="Q538" t="s">
        <v>48</v>
      </c>
      <c r="R538" t="s">
        <v>26</v>
      </c>
      <c r="S538" s="8" t="str">
        <f t="shared" si="24"/>
        <v>Normal</v>
      </c>
      <c r="T538" s="8" t="str">
        <f t="shared" si="25"/>
        <v>Medium</v>
      </c>
      <c r="U538" s="8" t="str">
        <f t="shared" si="26"/>
        <v>Afternoon</v>
      </c>
      <c r="V538" s="8"/>
      <c r="W538" s="8"/>
    </row>
    <row r="539" spans="1:23" ht="15.75" thickBot="1" x14ac:dyDescent="0.3">
      <c r="A539" s="5">
        <v>538</v>
      </c>
      <c r="B539" s="6">
        <v>40567</v>
      </c>
      <c r="C539" s="5">
        <v>1</v>
      </c>
      <c r="D539" s="5">
        <v>0</v>
      </c>
      <c r="E539" s="5">
        <v>1</v>
      </c>
      <c r="F539" s="5">
        <v>13</v>
      </c>
      <c r="G539" s="7" t="b">
        <v>0</v>
      </c>
      <c r="H539" s="5">
        <v>1</v>
      </c>
      <c r="I539" s="5">
        <v>2</v>
      </c>
      <c r="J539" s="5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  <c r="Q539" t="s">
        <v>48</v>
      </c>
      <c r="R539" t="s">
        <v>26</v>
      </c>
      <c r="S539" s="8" t="str">
        <f t="shared" si="24"/>
        <v>Normal</v>
      </c>
      <c r="T539" s="8" t="str">
        <f t="shared" si="25"/>
        <v>Medium</v>
      </c>
      <c r="U539" s="8" t="str">
        <f t="shared" si="26"/>
        <v>Afternoon</v>
      </c>
      <c r="V539" s="8"/>
      <c r="W539" s="8"/>
    </row>
    <row r="540" spans="1:23" ht="15.75" thickBot="1" x14ac:dyDescent="0.3">
      <c r="A540" s="5">
        <v>539</v>
      </c>
      <c r="B540" s="6">
        <v>40567</v>
      </c>
      <c r="C540" s="5">
        <v>1</v>
      </c>
      <c r="D540" s="5">
        <v>0</v>
      </c>
      <c r="E540" s="5">
        <v>1</v>
      </c>
      <c r="F540" s="5">
        <v>14</v>
      </c>
      <c r="G540" s="7" t="b">
        <v>0</v>
      </c>
      <c r="H540" s="5">
        <v>1</v>
      </c>
      <c r="I540" s="5">
        <v>2</v>
      </c>
      <c r="J540" s="5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  <c r="Q540" t="s">
        <v>48</v>
      </c>
      <c r="R540" t="s">
        <v>26</v>
      </c>
      <c r="S540" s="8" t="str">
        <f t="shared" si="24"/>
        <v>Normal</v>
      </c>
      <c r="T540" s="8" t="str">
        <f t="shared" si="25"/>
        <v>Low</v>
      </c>
      <c r="U540" s="8" t="str">
        <f t="shared" si="26"/>
        <v>Afternoon</v>
      </c>
      <c r="V540" s="8"/>
      <c r="W540" s="8"/>
    </row>
    <row r="541" spans="1:23" ht="15.75" thickBot="1" x14ac:dyDescent="0.3">
      <c r="A541" s="5">
        <v>540</v>
      </c>
      <c r="B541" s="6">
        <v>40567</v>
      </c>
      <c r="C541" s="5">
        <v>1</v>
      </c>
      <c r="D541" s="5">
        <v>0</v>
      </c>
      <c r="E541" s="5">
        <v>1</v>
      </c>
      <c r="F541" s="5">
        <v>15</v>
      </c>
      <c r="G541" s="7" t="b">
        <v>0</v>
      </c>
      <c r="H541" s="5">
        <v>1</v>
      </c>
      <c r="I541" s="5">
        <v>1</v>
      </c>
      <c r="J541" s="5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  <c r="Q541" t="s">
        <v>48</v>
      </c>
      <c r="R541" t="s">
        <v>22</v>
      </c>
      <c r="S541" s="8" t="str">
        <f t="shared" si="24"/>
        <v>Normal</v>
      </c>
      <c r="T541" s="8" t="str">
        <f t="shared" si="25"/>
        <v>Medium</v>
      </c>
      <c r="U541" s="8" t="str">
        <f t="shared" si="26"/>
        <v>Afternoon</v>
      </c>
      <c r="V541" s="8"/>
      <c r="W541" s="8"/>
    </row>
    <row r="542" spans="1:23" ht="15.75" thickBot="1" x14ac:dyDescent="0.3">
      <c r="A542" s="5">
        <v>541</v>
      </c>
      <c r="B542" s="6">
        <v>40567</v>
      </c>
      <c r="C542" s="5">
        <v>1</v>
      </c>
      <c r="D542" s="5">
        <v>0</v>
      </c>
      <c r="E542" s="5">
        <v>1</v>
      </c>
      <c r="F542" s="5">
        <v>16</v>
      </c>
      <c r="G542" s="7" t="b">
        <v>0</v>
      </c>
      <c r="H542" s="5">
        <v>1</v>
      </c>
      <c r="I542" s="5">
        <v>1</v>
      </c>
      <c r="J542" s="5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  <c r="Q542" t="s">
        <v>48</v>
      </c>
      <c r="R542" t="s">
        <v>22</v>
      </c>
      <c r="S542" s="8" t="str">
        <f t="shared" si="24"/>
        <v>Normal</v>
      </c>
      <c r="T542" s="8" t="str">
        <f t="shared" si="25"/>
        <v>Medium</v>
      </c>
      <c r="U542" s="8" t="str">
        <f t="shared" si="26"/>
        <v>Afternoon</v>
      </c>
      <c r="V542" s="8"/>
      <c r="W542" s="8"/>
    </row>
    <row r="543" spans="1:23" ht="15.75" thickBot="1" x14ac:dyDescent="0.3">
      <c r="A543" s="5">
        <v>542</v>
      </c>
      <c r="B543" s="6">
        <v>40567</v>
      </c>
      <c r="C543" s="5">
        <v>1</v>
      </c>
      <c r="D543" s="5">
        <v>0</v>
      </c>
      <c r="E543" s="5">
        <v>1</v>
      </c>
      <c r="F543" s="5">
        <v>17</v>
      </c>
      <c r="G543" s="7" t="b">
        <v>0</v>
      </c>
      <c r="H543" s="5">
        <v>1</v>
      </c>
      <c r="I543" s="5">
        <v>1</v>
      </c>
      <c r="J543" s="5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  <c r="Q543" t="s">
        <v>48</v>
      </c>
      <c r="R543" t="s">
        <v>22</v>
      </c>
      <c r="S543" s="8" t="str">
        <f t="shared" si="24"/>
        <v>Rush Hour</v>
      </c>
      <c r="T543" s="8" t="str">
        <f t="shared" si="25"/>
        <v>High</v>
      </c>
      <c r="U543" s="8" t="str">
        <f t="shared" si="26"/>
        <v>Afternoon</v>
      </c>
      <c r="V543" s="8"/>
      <c r="W543" s="8"/>
    </row>
    <row r="544" spans="1:23" ht="15.75" thickBot="1" x14ac:dyDescent="0.3">
      <c r="A544" s="5">
        <v>543</v>
      </c>
      <c r="B544" s="6">
        <v>40567</v>
      </c>
      <c r="C544" s="5">
        <v>1</v>
      </c>
      <c r="D544" s="5">
        <v>0</v>
      </c>
      <c r="E544" s="5">
        <v>1</v>
      </c>
      <c r="F544" s="5">
        <v>18</v>
      </c>
      <c r="G544" s="7" t="b">
        <v>0</v>
      </c>
      <c r="H544" s="5">
        <v>1</v>
      </c>
      <c r="I544" s="5">
        <v>1</v>
      </c>
      <c r="J544" s="5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  <c r="Q544" t="s">
        <v>48</v>
      </c>
      <c r="R544" t="s">
        <v>22</v>
      </c>
      <c r="S544" s="8" t="str">
        <f t="shared" si="24"/>
        <v>Rush Hour</v>
      </c>
      <c r="T544" s="8" t="str">
        <f t="shared" si="25"/>
        <v>High</v>
      </c>
      <c r="U544" s="8" t="str">
        <f t="shared" si="26"/>
        <v>Evening</v>
      </c>
      <c r="V544" s="8"/>
      <c r="W544" s="8"/>
    </row>
    <row r="545" spans="1:23" ht="15.75" thickBot="1" x14ac:dyDescent="0.3">
      <c r="A545" s="5">
        <v>544</v>
      </c>
      <c r="B545" s="6">
        <v>40567</v>
      </c>
      <c r="C545" s="5">
        <v>1</v>
      </c>
      <c r="D545" s="5">
        <v>0</v>
      </c>
      <c r="E545" s="5">
        <v>1</v>
      </c>
      <c r="F545" s="5">
        <v>19</v>
      </c>
      <c r="G545" s="7" t="b">
        <v>0</v>
      </c>
      <c r="H545" s="5">
        <v>1</v>
      </c>
      <c r="I545" s="5">
        <v>1</v>
      </c>
      <c r="J545" s="5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  <c r="Q545" t="s">
        <v>48</v>
      </c>
      <c r="R545" t="s">
        <v>22</v>
      </c>
      <c r="S545" s="8" t="str">
        <f t="shared" si="24"/>
        <v>Rush Hour</v>
      </c>
      <c r="T545" s="8" t="str">
        <f t="shared" si="25"/>
        <v>Medium</v>
      </c>
      <c r="U545" s="8" t="str">
        <f t="shared" si="26"/>
        <v>Evening</v>
      </c>
      <c r="V545" s="8"/>
      <c r="W545" s="8"/>
    </row>
    <row r="546" spans="1:23" ht="15.75" thickBot="1" x14ac:dyDescent="0.3">
      <c r="A546" s="5">
        <v>545</v>
      </c>
      <c r="B546" s="6">
        <v>40567</v>
      </c>
      <c r="C546" s="5">
        <v>1</v>
      </c>
      <c r="D546" s="5">
        <v>0</v>
      </c>
      <c r="E546" s="5">
        <v>1</v>
      </c>
      <c r="F546" s="5">
        <v>20</v>
      </c>
      <c r="G546" s="7" t="b">
        <v>0</v>
      </c>
      <c r="H546" s="5">
        <v>1</v>
      </c>
      <c r="I546" s="5">
        <v>1</v>
      </c>
      <c r="J546" s="5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  <c r="Q546" t="s">
        <v>48</v>
      </c>
      <c r="R546" t="s">
        <v>22</v>
      </c>
      <c r="S546" s="8" t="str">
        <f t="shared" si="24"/>
        <v>Normal</v>
      </c>
      <c r="T546" s="8" t="str">
        <f t="shared" si="25"/>
        <v>Medium</v>
      </c>
      <c r="U546" s="8" t="str">
        <f t="shared" si="26"/>
        <v>Evening</v>
      </c>
      <c r="V546" s="8"/>
      <c r="W546" s="8"/>
    </row>
    <row r="547" spans="1:23" ht="15.75" thickBot="1" x14ac:dyDescent="0.3">
      <c r="A547" s="5">
        <v>546</v>
      </c>
      <c r="B547" s="6">
        <v>40567</v>
      </c>
      <c r="C547" s="5">
        <v>1</v>
      </c>
      <c r="D547" s="5">
        <v>0</v>
      </c>
      <c r="E547" s="5">
        <v>1</v>
      </c>
      <c r="F547" s="5">
        <v>21</v>
      </c>
      <c r="G547" s="7" t="b">
        <v>0</v>
      </c>
      <c r="H547" s="5">
        <v>1</v>
      </c>
      <c r="I547" s="5">
        <v>1</v>
      </c>
      <c r="J547" s="5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  <c r="Q547" t="s">
        <v>48</v>
      </c>
      <c r="R547" t="s">
        <v>22</v>
      </c>
      <c r="S547" s="8" t="str">
        <f t="shared" si="24"/>
        <v>Normal</v>
      </c>
      <c r="T547" s="8" t="str">
        <f t="shared" si="25"/>
        <v>Medium</v>
      </c>
      <c r="U547" s="8" t="str">
        <f t="shared" si="26"/>
        <v>Evening</v>
      </c>
      <c r="V547" s="8"/>
      <c r="W547" s="8"/>
    </row>
    <row r="548" spans="1:23" ht="15.75" thickBot="1" x14ac:dyDescent="0.3">
      <c r="A548" s="5">
        <v>547</v>
      </c>
      <c r="B548" s="6">
        <v>40567</v>
      </c>
      <c r="C548" s="5">
        <v>1</v>
      </c>
      <c r="D548" s="5">
        <v>0</v>
      </c>
      <c r="E548" s="5">
        <v>1</v>
      </c>
      <c r="F548" s="5">
        <v>22</v>
      </c>
      <c r="G548" s="7" t="b">
        <v>0</v>
      </c>
      <c r="H548" s="5">
        <v>1</v>
      </c>
      <c r="I548" s="5">
        <v>2</v>
      </c>
      <c r="J548" s="5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  <c r="Q548" t="s">
        <v>48</v>
      </c>
      <c r="R548" t="s">
        <v>26</v>
      </c>
      <c r="S548" s="8" t="str">
        <f t="shared" si="24"/>
        <v>Normal</v>
      </c>
      <c r="T548" s="8" t="str">
        <f t="shared" si="25"/>
        <v>Low</v>
      </c>
      <c r="U548" s="8" t="str">
        <f t="shared" si="26"/>
        <v>Evening</v>
      </c>
      <c r="V548" s="8"/>
      <c r="W548" s="8"/>
    </row>
    <row r="549" spans="1:23" ht="15.75" thickBot="1" x14ac:dyDescent="0.3">
      <c r="A549" s="5">
        <v>548</v>
      </c>
      <c r="B549" s="6">
        <v>40567</v>
      </c>
      <c r="C549" s="5">
        <v>1</v>
      </c>
      <c r="D549" s="5">
        <v>0</v>
      </c>
      <c r="E549" s="5">
        <v>1</v>
      </c>
      <c r="F549" s="5">
        <v>23</v>
      </c>
      <c r="G549" s="7" t="b">
        <v>0</v>
      </c>
      <c r="H549" s="5">
        <v>1</v>
      </c>
      <c r="I549" s="5">
        <v>2</v>
      </c>
      <c r="J549" s="5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  <c r="Q549" t="s">
        <v>48</v>
      </c>
      <c r="R549" t="s">
        <v>26</v>
      </c>
      <c r="S549" s="8" t="str">
        <f t="shared" si="24"/>
        <v>Normal</v>
      </c>
      <c r="T549" s="8" t="str">
        <f t="shared" si="25"/>
        <v>Low</v>
      </c>
      <c r="U549" s="8" t="str">
        <f t="shared" si="26"/>
        <v>Evening</v>
      </c>
      <c r="V549" s="8"/>
      <c r="W549" s="8"/>
    </row>
    <row r="550" spans="1:23" ht="15.75" thickBot="1" x14ac:dyDescent="0.3">
      <c r="A550" s="5">
        <v>549</v>
      </c>
      <c r="B550" s="6">
        <v>40568</v>
      </c>
      <c r="C550" s="5">
        <v>1</v>
      </c>
      <c r="D550" s="5">
        <v>0</v>
      </c>
      <c r="E550" s="5">
        <v>1</v>
      </c>
      <c r="F550" s="5">
        <v>0</v>
      </c>
      <c r="G550" s="7" t="b">
        <v>0</v>
      </c>
      <c r="H550" s="5">
        <v>2</v>
      </c>
      <c r="I550" s="5">
        <v>2</v>
      </c>
      <c r="J550" s="5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  <c r="Q550" t="s">
        <v>49</v>
      </c>
      <c r="R550" t="s">
        <v>26</v>
      </c>
      <c r="S550" s="8" t="str">
        <f t="shared" si="24"/>
        <v>Normal</v>
      </c>
      <c r="T550" s="8" t="str">
        <f t="shared" si="25"/>
        <v>Low</v>
      </c>
      <c r="U550" s="8" t="str">
        <f t="shared" si="26"/>
        <v>Night</v>
      </c>
      <c r="V550" s="8"/>
      <c r="W550" s="8"/>
    </row>
    <row r="551" spans="1:23" ht="15.75" thickBot="1" x14ac:dyDescent="0.3">
      <c r="A551" s="5">
        <v>550</v>
      </c>
      <c r="B551" s="6">
        <v>40568</v>
      </c>
      <c r="C551" s="5">
        <v>1</v>
      </c>
      <c r="D551" s="5">
        <v>0</v>
      </c>
      <c r="E551" s="5">
        <v>1</v>
      </c>
      <c r="F551" s="5">
        <v>1</v>
      </c>
      <c r="G551" s="7" t="b">
        <v>0</v>
      </c>
      <c r="H551" s="5">
        <v>2</v>
      </c>
      <c r="I551" s="5">
        <v>2</v>
      </c>
      <c r="J551" s="5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  <c r="Q551" t="s">
        <v>49</v>
      </c>
      <c r="R551" t="s">
        <v>26</v>
      </c>
      <c r="S551" s="8" t="str">
        <f t="shared" si="24"/>
        <v>Normal</v>
      </c>
      <c r="T551" s="8" t="str">
        <f t="shared" si="25"/>
        <v>Low</v>
      </c>
      <c r="U551" s="8" t="str">
        <f t="shared" si="26"/>
        <v>Night</v>
      </c>
      <c r="V551" s="8"/>
      <c r="W551" s="8"/>
    </row>
    <row r="552" spans="1:23" ht="15.75" thickBot="1" x14ac:dyDescent="0.3">
      <c r="A552" s="5">
        <v>551</v>
      </c>
      <c r="B552" s="6">
        <v>40568</v>
      </c>
      <c r="C552" s="5">
        <v>1</v>
      </c>
      <c r="D552" s="5">
        <v>0</v>
      </c>
      <c r="E552" s="5">
        <v>1</v>
      </c>
      <c r="F552" s="5">
        <v>2</v>
      </c>
      <c r="G552" s="7" t="b">
        <v>0</v>
      </c>
      <c r="H552" s="5">
        <v>2</v>
      </c>
      <c r="I552" s="5">
        <v>1</v>
      </c>
      <c r="J552" s="5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  <c r="Q552" t="s">
        <v>49</v>
      </c>
      <c r="R552" t="s">
        <v>22</v>
      </c>
      <c r="S552" s="8" t="str">
        <f t="shared" si="24"/>
        <v>Normal</v>
      </c>
      <c r="T552" s="8" t="str">
        <f t="shared" si="25"/>
        <v>Low</v>
      </c>
      <c r="U552" s="8" t="str">
        <f t="shared" si="26"/>
        <v>Night</v>
      </c>
      <c r="V552" s="8"/>
      <c r="W552" s="8"/>
    </row>
    <row r="553" spans="1:23" ht="15.75" thickBot="1" x14ac:dyDescent="0.3">
      <c r="A553" s="5">
        <v>552</v>
      </c>
      <c r="B553" s="6">
        <v>40568</v>
      </c>
      <c r="C553" s="5">
        <v>1</v>
      </c>
      <c r="D553" s="5">
        <v>0</v>
      </c>
      <c r="E553" s="5">
        <v>1</v>
      </c>
      <c r="F553" s="5">
        <v>4</v>
      </c>
      <c r="G553" s="7" t="b">
        <v>0</v>
      </c>
      <c r="H553" s="5">
        <v>2</v>
      </c>
      <c r="I553" s="5">
        <v>1</v>
      </c>
      <c r="J553" s="5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  <c r="Q553" t="s">
        <v>49</v>
      </c>
      <c r="R553" t="s">
        <v>22</v>
      </c>
      <c r="S553" s="8" t="str">
        <f t="shared" si="24"/>
        <v>Normal</v>
      </c>
      <c r="T553" s="8" t="str">
        <f t="shared" si="25"/>
        <v>Low</v>
      </c>
      <c r="U553" s="8" t="str">
        <f t="shared" si="26"/>
        <v>Night</v>
      </c>
      <c r="V553" s="8"/>
      <c r="W553" s="8"/>
    </row>
    <row r="554" spans="1:23" ht="15.75" thickBot="1" x14ac:dyDescent="0.3">
      <c r="A554" s="5">
        <v>553</v>
      </c>
      <c r="B554" s="6">
        <v>40568</v>
      </c>
      <c r="C554" s="5">
        <v>1</v>
      </c>
      <c r="D554" s="5">
        <v>0</v>
      </c>
      <c r="E554" s="5">
        <v>1</v>
      </c>
      <c r="F554" s="5">
        <v>5</v>
      </c>
      <c r="G554" s="7" t="b">
        <v>0</v>
      </c>
      <c r="H554" s="5">
        <v>2</v>
      </c>
      <c r="I554" s="5">
        <v>1</v>
      </c>
      <c r="J554" s="5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  <c r="Q554" t="s">
        <v>49</v>
      </c>
      <c r="R554" t="s">
        <v>22</v>
      </c>
      <c r="S554" s="8" t="str">
        <f t="shared" si="24"/>
        <v>Normal</v>
      </c>
      <c r="T554" s="8" t="str">
        <f t="shared" si="25"/>
        <v>Low</v>
      </c>
      <c r="U554" s="8" t="str">
        <f t="shared" si="26"/>
        <v>Night</v>
      </c>
      <c r="V554" s="8"/>
      <c r="W554" s="8"/>
    </row>
    <row r="555" spans="1:23" ht="15.75" thickBot="1" x14ac:dyDescent="0.3">
      <c r="A555" s="5">
        <v>554</v>
      </c>
      <c r="B555" s="6">
        <v>40568</v>
      </c>
      <c r="C555" s="5">
        <v>1</v>
      </c>
      <c r="D555" s="5">
        <v>0</v>
      </c>
      <c r="E555" s="5">
        <v>1</v>
      </c>
      <c r="F555" s="5">
        <v>6</v>
      </c>
      <c r="G555" s="7" t="b">
        <v>0</v>
      </c>
      <c r="H555" s="5">
        <v>2</v>
      </c>
      <c r="I555" s="5">
        <v>1</v>
      </c>
      <c r="J555" s="5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  <c r="Q555" t="s">
        <v>49</v>
      </c>
      <c r="R555" t="s">
        <v>22</v>
      </c>
      <c r="S555" s="8" t="str">
        <f t="shared" si="24"/>
        <v>Normal</v>
      </c>
      <c r="T555" s="8" t="str">
        <f t="shared" si="25"/>
        <v>Low</v>
      </c>
      <c r="U555" s="8" t="str">
        <f t="shared" si="26"/>
        <v>Morning</v>
      </c>
      <c r="V555" s="8"/>
      <c r="W555" s="8"/>
    </row>
    <row r="556" spans="1:23" ht="15.75" thickBot="1" x14ac:dyDescent="0.3">
      <c r="A556" s="5">
        <v>555</v>
      </c>
      <c r="B556" s="6">
        <v>40568</v>
      </c>
      <c r="C556" s="5">
        <v>1</v>
      </c>
      <c r="D556" s="5">
        <v>0</v>
      </c>
      <c r="E556" s="5">
        <v>1</v>
      </c>
      <c r="F556" s="5">
        <v>7</v>
      </c>
      <c r="G556" s="7" t="b">
        <v>0</v>
      </c>
      <c r="H556" s="5">
        <v>2</v>
      </c>
      <c r="I556" s="5">
        <v>1</v>
      </c>
      <c r="J556" s="5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  <c r="Q556" t="s">
        <v>49</v>
      </c>
      <c r="R556" t="s">
        <v>22</v>
      </c>
      <c r="S556" s="8" t="str">
        <f t="shared" si="24"/>
        <v>Rush Hour</v>
      </c>
      <c r="T556" s="8" t="str">
        <f t="shared" si="25"/>
        <v>Medium</v>
      </c>
      <c r="U556" s="8" t="str">
        <f t="shared" si="26"/>
        <v>Morning</v>
      </c>
      <c r="V556" s="8"/>
      <c r="W556" s="8"/>
    </row>
    <row r="557" spans="1:23" ht="15.75" thickBot="1" x14ac:dyDescent="0.3">
      <c r="A557" s="5">
        <v>556</v>
      </c>
      <c r="B557" s="6">
        <v>40568</v>
      </c>
      <c r="C557" s="5">
        <v>1</v>
      </c>
      <c r="D557" s="5">
        <v>0</v>
      </c>
      <c r="E557" s="5">
        <v>1</v>
      </c>
      <c r="F557" s="5">
        <v>8</v>
      </c>
      <c r="G557" s="7" t="b">
        <v>0</v>
      </c>
      <c r="H557" s="5">
        <v>2</v>
      </c>
      <c r="I557" s="5">
        <v>2</v>
      </c>
      <c r="J557" s="5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  <c r="Q557" t="s">
        <v>49</v>
      </c>
      <c r="R557" t="s">
        <v>26</v>
      </c>
      <c r="S557" s="8" t="str">
        <f t="shared" si="24"/>
        <v>Rush Hour</v>
      </c>
      <c r="T557" s="8" t="str">
        <f t="shared" si="25"/>
        <v>High</v>
      </c>
      <c r="U557" s="8" t="str">
        <f t="shared" si="26"/>
        <v>Morning</v>
      </c>
      <c r="V557" s="8"/>
      <c r="W557" s="8"/>
    </row>
    <row r="558" spans="1:23" ht="15.75" thickBot="1" x14ac:dyDescent="0.3">
      <c r="A558" s="5">
        <v>557</v>
      </c>
      <c r="B558" s="6">
        <v>40568</v>
      </c>
      <c r="C558" s="5">
        <v>1</v>
      </c>
      <c r="D558" s="5">
        <v>0</v>
      </c>
      <c r="E558" s="5">
        <v>1</v>
      </c>
      <c r="F558" s="5">
        <v>9</v>
      </c>
      <c r="G558" s="7" t="b">
        <v>0</v>
      </c>
      <c r="H558" s="5">
        <v>2</v>
      </c>
      <c r="I558" s="5">
        <v>2</v>
      </c>
      <c r="J558" s="5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  <c r="Q558" t="s">
        <v>49</v>
      </c>
      <c r="R558" t="s">
        <v>26</v>
      </c>
      <c r="S558" s="8" t="str">
        <f t="shared" si="24"/>
        <v>Rush Hour</v>
      </c>
      <c r="T558" s="8" t="str">
        <f t="shared" si="25"/>
        <v>Medium</v>
      </c>
      <c r="U558" s="8" t="str">
        <f t="shared" si="26"/>
        <v>Morning</v>
      </c>
      <c r="V558" s="8"/>
      <c r="W558" s="8"/>
    </row>
    <row r="559" spans="1:23" ht="15.75" thickBot="1" x14ac:dyDescent="0.3">
      <c r="A559" s="5">
        <v>558</v>
      </c>
      <c r="B559" s="6">
        <v>40568</v>
      </c>
      <c r="C559" s="5">
        <v>1</v>
      </c>
      <c r="D559" s="5">
        <v>0</v>
      </c>
      <c r="E559" s="5">
        <v>1</v>
      </c>
      <c r="F559" s="5">
        <v>10</v>
      </c>
      <c r="G559" s="7" t="b">
        <v>0</v>
      </c>
      <c r="H559" s="5">
        <v>2</v>
      </c>
      <c r="I559" s="5">
        <v>2</v>
      </c>
      <c r="J559" s="5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  <c r="Q559" t="s">
        <v>49</v>
      </c>
      <c r="R559" t="s">
        <v>26</v>
      </c>
      <c r="S559" s="8" t="str">
        <f t="shared" si="24"/>
        <v>Normal</v>
      </c>
      <c r="T559" s="8" t="str">
        <f t="shared" si="25"/>
        <v>Medium</v>
      </c>
      <c r="U559" s="8" t="str">
        <f t="shared" si="26"/>
        <v>Morning</v>
      </c>
      <c r="V559" s="8"/>
      <c r="W559" s="8"/>
    </row>
    <row r="560" spans="1:23" ht="15.75" thickBot="1" x14ac:dyDescent="0.3">
      <c r="A560" s="5">
        <v>559</v>
      </c>
      <c r="B560" s="6">
        <v>40568</v>
      </c>
      <c r="C560" s="5">
        <v>1</v>
      </c>
      <c r="D560" s="5">
        <v>0</v>
      </c>
      <c r="E560" s="5">
        <v>1</v>
      </c>
      <c r="F560" s="5">
        <v>11</v>
      </c>
      <c r="G560" s="7" t="b">
        <v>0</v>
      </c>
      <c r="H560" s="5">
        <v>2</v>
      </c>
      <c r="I560" s="5">
        <v>2</v>
      </c>
      <c r="J560" s="5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  <c r="Q560" t="s">
        <v>49</v>
      </c>
      <c r="R560" t="s">
        <v>26</v>
      </c>
      <c r="S560" s="8" t="str">
        <f t="shared" si="24"/>
        <v>Normal</v>
      </c>
      <c r="T560" s="8" t="str">
        <f t="shared" si="25"/>
        <v>Medium</v>
      </c>
      <c r="U560" s="8" t="str">
        <f t="shared" si="26"/>
        <v>Morning</v>
      </c>
      <c r="V560" s="8"/>
      <c r="W560" s="8"/>
    </row>
    <row r="561" spans="1:23" ht="15.75" thickBot="1" x14ac:dyDescent="0.3">
      <c r="A561" s="5">
        <v>560</v>
      </c>
      <c r="B561" s="6">
        <v>40568</v>
      </c>
      <c r="C561" s="5">
        <v>1</v>
      </c>
      <c r="D561" s="5">
        <v>0</v>
      </c>
      <c r="E561" s="5">
        <v>1</v>
      </c>
      <c r="F561" s="5">
        <v>12</v>
      </c>
      <c r="G561" s="7" t="b">
        <v>0</v>
      </c>
      <c r="H561" s="5">
        <v>2</v>
      </c>
      <c r="I561" s="5">
        <v>2</v>
      </c>
      <c r="J561" s="5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  <c r="Q561" t="s">
        <v>49</v>
      </c>
      <c r="R561" t="s">
        <v>26</v>
      </c>
      <c r="S561" s="8" t="str">
        <f t="shared" si="24"/>
        <v>Normal</v>
      </c>
      <c r="T561" s="8" t="str">
        <f t="shared" si="25"/>
        <v>Medium</v>
      </c>
      <c r="U561" s="8" t="str">
        <f t="shared" si="26"/>
        <v>Afternoon</v>
      </c>
      <c r="V561" s="8"/>
      <c r="W561" s="8"/>
    </row>
    <row r="562" spans="1:23" ht="15.75" thickBot="1" x14ac:dyDescent="0.3">
      <c r="A562" s="5">
        <v>561</v>
      </c>
      <c r="B562" s="6">
        <v>40568</v>
      </c>
      <c r="C562" s="5">
        <v>1</v>
      </c>
      <c r="D562" s="5">
        <v>0</v>
      </c>
      <c r="E562" s="5">
        <v>1</v>
      </c>
      <c r="F562" s="5">
        <v>13</v>
      </c>
      <c r="G562" s="7" t="b">
        <v>0</v>
      </c>
      <c r="H562" s="5">
        <v>2</v>
      </c>
      <c r="I562" s="5">
        <v>2</v>
      </c>
      <c r="J562" s="5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  <c r="Q562" t="s">
        <v>49</v>
      </c>
      <c r="R562" t="s">
        <v>26</v>
      </c>
      <c r="S562" s="8" t="str">
        <f t="shared" si="24"/>
        <v>Normal</v>
      </c>
      <c r="T562" s="8" t="str">
        <f t="shared" si="25"/>
        <v>Medium</v>
      </c>
      <c r="U562" s="8" t="str">
        <f t="shared" si="26"/>
        <v>Afternoon</v>
      </c>
      <c r="V562" s="8"/>
      <c r="W562" s="8"/>
    </row>
    <row r="563" spans="1:23" ht="15.75" thickBot="1" x14ac:dyDescent="0.3">
      <c r="A563" s="5">
        <v>562</v>
      </c>
      <c r="B563" s="6">
        <v>40568</v>
      </c>
      <c r="C563" s="5">
        <v>1</v>
      </c>
      <c r="D563" s="5">
        <v>0</v>
      </c>
      <c r="E563" s="5">
        <v>1</v>
      </c>
      <c r="F563" s="5">
        <v>14</v>
      </c>
      <c r="G563" s="7" t="b">
        <v>0</v>
      </c>
      <c r="H563" s="5">
        <v>2</v>
      </c>
      <c r="I563" s="5">
        <v>2</v>
      </c>
      <c r="J563" s="5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  <c r="Q563" t="s">
        <v>49</v>
      </c>
      <c r="R563" t="s">
        <v>26</v>
      </c>
      <c r="S563" s="8" t="str">
        <f t="shared" si="24"/>
        <v>Normal</v>
      </c>
      <c r="T563" s="8" t="str">
        <f t="shared" si="25"/>
        <v>Medium</v>
      </c>
      <c r="U563" s="8" t="str">
        <f t="shared" si="26"/>
        <v>Afternoon</v>
      </c>
      <c r="V563" s="8"/>
      <c r="W563" s="8"/>
    </row>
    <row r="564" spans="1:23" ht="15.75" thickBot="1" x14ac:dyDescent="0.3">
      <c r="A564" s="5">
        <v>563</v>
      </c>
      <c r="B564" s="6">
        <v>40568</v>
      </c>
      <c r="C564" s="5">
        <v>1</v>
      </c>
      <c r="D564" s="5">
        <v>0</v>
      </c>
      <c r="E564" s="5">
        <v>1</v>
      </c>
      <c r="F564" s="5">
        <v>15</v>
      </c>
      <c r="G564" s="7" t="b">
        <v>0</v>
      </c>
      <c r="H564" s="5">
        <v>2</v>
      </c>
      <c r="I564" s="5">
        <v>2</v>
      </c>
      <c r="J564" s="5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  <c r="Q564" t="s">
        <v>49</v>
      </c>
      <c r="R564" t="s">
        <v>26</v>
      </c>
      <c r="S564" s="8" t="str">
        <f t="shared" si="24"/>
        <v>Normal</v>
      </c>
      <c r="T564" s="8" t="str">
        <f t="shared" si="25"/>
        <v>Medium</v>
      </c>
      <c r="U564" s="8" t="str">
        <f t="shared" si="26"/>
        <v>Afternoon</v>
      </c>
      <c r="V564" s="8"/>
      <c r="W564" s="8"/>
    </row>
    <row r="565" spans="1:23" ht="15.75" thickBot="1" x14ac:dyDescent="0.3">
      <c r="A565" s="5">
        <v>564</v>
      </c>
      <c r="B565" s="6">
        <v>40568</v>
      </c>
      <c r="C565" s="5">
        <v>1</v>
      </c>
      <c r="D565" s="5">
        <v>0</v>
      </c>
      <c r="E565" s="5">
        <v>1</v>
      </c>
      <c r="F565" s="5">
        <v>16</v>
      </c>
      <c r="G565" s="7" t="b">
        <v>0</v>
      </c>
      <c r="H565" s="5">
        <v>2</v>
      </c>
      <c r="I565" s="5">
        <v>2</v>
      </c>
      <c r="J565" s="5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  <c r="Q565" t="s">
        <v>49</v>
      </c>
      <c r="R565" t="s">
        <v>26</v>
      </c>
      <c r="S565" s="8" t="str">
        <f t="shared" si="24"/>
        <v>Normal</v>
      </c>
      <c r="T565" s="8" t="str">
        <f t="shared" si="25"/>
        <v>Medium</v>
      </c>
      <c r="U565" s="8" t="str">
        <f t="shared" si="26"/>
        <v>Afternoon</v>
      </c>
      <c r="V565" s="8"/>
      <c r="W565" s="8"/>
    </row>
    <row r="566" spans="1:23" ht="15.75" thickBot="1" x14ac:dyDescent="0.3">
      <c r="A566" s="5">
        <v>565</v>
      </c>
      <c r="B566" s="6">
        <v>40568</v>
      </c>
      <c r="C566" s="5">
        <v>1</v>
      </c>
      <c r="D566" s="5">
        <v>0</v>
      </c>
      <c r="E566" s="5">
        <v>1</v>
      </c>
      <c r="F566" s="5">
        <v>17</v>
      </c>
      <c r="G566" s="7" t="b">
        <v>0</v>
      </c>
      <c r="H566" s="5">
        <v>2</v>
      </c>
      <c r="I566" s="5">
        <v>1</v>
      </c>
      <c r="J566" s="5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  <c r="Q566" t="s">
        <v>49</v>
      </c>
      <c r="R566" t="s">
        <v>22</v>
      </c>
      <c r="S566" s="8" t="str">
        <f t="shared" si="24"/>
        <v>Rush Hour</v>
      </c>
      <c r="T566" s="8" t="str">
        <f t="shared" si="25"/>
        <v>High</v>
      </c>
      <c r="U566" s="8" t="str">
        <f t="shared" si="26"/>
        <v>Afternoon</v>
      </c>
      <c r="V566" s="8"/>
      <c r="W566" s="8"/>
    </row>
    <row r="567" spans="1:23" ht="15.75" thickBot="1" x14ac:dyDescent="0.3">
      <c r="A567" s="5">
        <v>566</v>
      </c>
      <c r="B567" s="6">
        <v>40568</v>
      </c>
      <c r="C567" s="5">
        <v>1</v>
      </c>
      <c r="D567" s="5">
        <v>0</v>
      </c>
      <c r="E567" s="5">
        <v>1</v>
      </c>
      <c r="F567" s="5">
        <v>18</v>
      </c>
      <c r="G567" s="7" t="b">
        <v>0</v>
      </c>
      <c r="H567" s="5">
        <v>2</v>
      </c>
      <c r="I567" s="5">
        <v>2</v>
      </c>
      <c r="J567" s="5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  <c r="Q567" t="s">
        <v>49</v>
      </c>
      <c r="R567" t="s">
        <v>26</v>
      </c>
      <c r="S567" s="8" t="str">
        <f t="shared" si="24"/>
        <v>Rush Hour</v>
      </c>
      <c r="T567" s="8" t="str">
        <f t="shared" si="25"/>
        <v>High</v>
      </c>
      <c r="U567" s="8" t="str">
        <f t="shared" si="26"/>
        <v>Evening</v>
      </c>
      <c r="V567" s="8"/>
      <c r="W567" s="8"/>
    </row>
    <row r="568" spans="1:23" ht="15.75" thickBot="1" x14ac:dyDescent="0.3">
      <c r="A568" s="5">
        <v>567</v>
      </c>
      <c r="B568" s="6">
        <v>40568</v>
      </c>
      <c r="C568" s="5">
        <v>1</v>
      </c>
      <c r="D568" s="5">
        <v>0</v>
      </c>
      <c r="E568" s="5">
        <v>1</v>
      </c>
      <c r="F568" s="5">
        <v>19</v>
      </c>
      <c r="G568" s="7" t="b">
        <v>0</v>
      </c>
      <c r="H568" s="5">
        <v>2</v>
      </c>
      <c r="I568" s="5">
        <v>2</v>
      </c>
      <c r="J568" s="5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  <c r="Q568" t="s">
        <v>49</v>
      </c>
      <c r="R568" t="s">
        <v>26</v>
      </c>
      <c r="S568" s="8" t="str">
        <f t="shared" si="24"/>
        <v>Rush Hour</v>
      </c>
      <c r="T568" s="8" t="str">
        <f t="shared" si="25"/>
        <v>Medium</v>
      </c>
      <c r="U568" s="8" t="str">
        <f t="shared" si="26"/>
        <v>Evening</v>
      </c>
      <c r="V568" s="8"/>
      <c r="W568" s="8"/>
    </row>
    <row r="569" spans="1:23" ht="15.75" thickBot="1" x14ac:dyDescent="0.3">
      <c r="A569" s="5">
        <v>568</v>
      </c>
      <c r="B569" s="6">
        <v>40568</v>
      </c>
      <c r="C569" s="5">
        <v>1</v>
      </c>
      <c r="D569" s="5">
        <v>0</v>
      </c>
      <c r="E569" s="5">
        <v>1</v>
      </c>
      <c r="F569" s="5">
        <v>20</v>
      </c>
      <c r="G569" s="7" t="b">
        <v>0</v>
      </c>
      <c r="H569" s="5">
        <v>2</v>
      </c>
      <c r="I569" s="5">
        <v>1</v>
      </c>
      <c r="J569" s="5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  <c r="Q569" t="s">
        <v>49</v>
      </c>
      <c r="R569" t="s">
        <v>22</v>
      </c>
      <c r="S569" s="8" t="str">
        <f t="shared" si="24"/>
        <v>Normal</v>
      </c>
      <c r="T569" s="8" t="str">
        <f t="shared" si="25"/>
        <v>Medium</v>
      </c>
      <c r="U569" s="8" t="str">
        <f t="shared" si="26"/>
        <v>Evening</v>
      </c>
      <c r="V569" s="8"/>
      <c r="W569" s="8"/>
    </row>
    <row r="570" spans="1:23" ht="15.75" thickBot="1" x14ac:dyDescent="0.3">
      <c r="A570" s="5">
        <v>569</v>
      </c>
      <c r="B570" s="6">
        <v>40568</v>
      </c>
      <c r="C570" s="5">
        <v>1</v>
      </c>
      <c r="D570" s="5">
        <v>0</v>
      </c>
      <c r="E570" s="5">
        <v>1</v>
      </c>
      <c r="F570" s="5">
        <v>21</v>
      </c>
      <c r="G570" s="7" t="b">
        <v>0</v>
      </c>
      <c r="H570" s="5">
        <v>2</v>
      </c>
      <c r="I570" s="5">
        <v>1</v>
      </c>
      <c r="J570" s="5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  <c r="Q570" t="s">
        <v>49</v>
      </c>
      <c r="R570" t="s">
        <v>22</v>
      </c>
      <c r="S570" s="8" t="str">
        <f t="shared" si="24"/>
        <v>Normal</v>
      </c>
      <c r="T570" s="8" t="str">
        <f t="shared" si="25"/>
        <v>Low</v>
      </c>
      <c r="U570" s="8" t="str">
        <f t="shared" si="26"/>
        <v>Evening</v>
      </c>
      <c r="V570" s="8"/>
      <c r="W570" s="8"/>
    </row>
    <row r="571" spans="1:23" ht="15.75" thickBot="1" x14ac:dyDescent="0.3">
      <c r="A571" s="5">
        <v>570</v>
      </c>
      <c r="B571" s="6">
        <v>40568</v>
      </c>
      <c r="C571" s="5">
        <v>1</v>
      </c>
      <c r="D571" s="5">
        <v>0</v>
      </c>
      <c r="E571" s="5">
        <v>1</v>
      </c>
      <c r="F571" s="5">
        <v>22</v>
      </c>
      <c r="G571" s="7" t="b">
        <v>0</v>
      </c>
      <c r="H571" s="5">
        <v>2</v>
      </c>
      <c r="I571" s="5">
        <v>1</v>
      </c>
      <c r="J571" s="5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  <c r="Q571" t="s">
        <v>49</v>
      </c>
      <c r="R571" t="s">
        <v>22</v>
      </c>
      <c r="S571" s="8" t="str">
        <f t="shared" si="24"/>
        <v>Normal</v>
      </c>
      <c r="T571" s="8" t="str">
        <f t="shared" si="25"/>
        <v>Medium</v>
      </c>
      <c r="U571" s="8" t="str">
        <f t="shared" si="26"/>
        <v>Evening</v>
      </c>
      <c r="V571" s="8"/>
      <c r="W571" s="8"/>
    </row>
    <row r="572" spans="1:23" ht="15.75" thickBot="1" x14ac:dyDescent="0.3">
      <c r="A572" s="5">
        <v>571</v>
      </c>
      <c r="B572" s="6">
        <v>40568</v>
      </c>
      <c r="C572" s="5">
        <v>1</v>
      </c>
      <c r="D572" s="5">
        <v>0</v>
      </c>
      <c r="E572" s="5">
        <v>1</v>
      </c>
      <c r="F572" s="5">
        <v>23</v>
      </c>
      <c r="G572" s="7" t="b">
        <v>0</v>
      </c>
      <c r="H572" s="5">
        <v>2</v>
      </c>
      <c r="I572" s="5">
        <v>2</v>
      </c>
      <c r="J572" s="5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  <c r="Q572" t="s">
        <v>49</v>
      </c>
      <c r="R572" t="s">
        <v>26</v>
      </c>
      <c r="S572" s="8" t="str">
        <f t="shared" si="24"/>
        <v>Normal</v>
      </c>
      <c r="T572" s="8" t="str">
        <f t="shared" si="25"/>
        <v>Low</v>
      </c>
      <c r="U572" s="8" t="str">
        <f t="shared" si="26"/>
        <v>Evening</v>
      </c>
      <c r="V572" s="8"/>
      <c r="W572" s="8"/>
    </row>
    <row r="573" spans="1:23" ht="15.75" thickBot="1" x14ac:dyDescent="0.3">
      <c r="A573" s="5">
        <v>572</v>
      </c>
      <c r="B573" s="6">
        <v>40569</v>
      </c>
      <c r="C573" s="5">
        <v>1</v>
      </c>
      <c r="D573" s="5">
        <v>0</v>
      </c>
      <c r="E573" s="5">
        <v>1</v>
      </c>
      <c r="F573" s="5">
        <v>0</v>
      </c>
      <c r="G573" s="7" t="b">
        <v>0</v>
      </c>
      <c r="H573" s="5">
        <v>3</v>
      </c>
      <c r="I573" s="5">
        <v>2</v>
      </c>
      <c r="J573" s="5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  <c r="Q573" t="s">
        <v>50</v>
      </c>
      <c r="R573" t="s">
        <v>26</v>
      </c>
      <c r="S573" s="8" t="str">
        <f t="shared" si="24"/>
        <v>Normal</v>
      </c>
      <c r="T573" s="8" t="str">
        <f t="shared" si="25"/>
        <v>Low</v>
      </c>
      <c r="U573" s="8" t="str">
        <f t="shared" si="26"/>
        <v>Night</v>
      </c>
      <c r="V573" s="8"/>
      <c r="W573" s="8"/>
    </row>
    <row r="574" spans="1:23" ht="15.75" thickBot="1" x14ac:dyDescent="0.3">
      <c r="A574" s="5">
        <v>573</v>
      </c>
      <c r="B574" s="6">
        <v>40569</v>
      </c>
      <c r="C574" s="5">
        <v>1</v>
      </c>
      <c r="D574" s="5">
        <v>0</v>
      </c>
      <c r="E574" s="5">
        <v>1</v>
      </c>
      <c r="F574" s="5">
        <v>1</v>
      </c>
      <c r="G574" s="7" t="b">
        <v>0</v>
      </c>
      <c r="H574" s="5">
        <v>3</v>
      </c>
      <c r="I574" s="5">
        <v>2</v>
      </c>
      <c r="J574" s="5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  <c r="Q574" t="s">
        <v>50</v>
      </c>
      <c r="R574" t="s">
        <v>26</v>
      </c>
      <c r="S574" s="8" t="str">
        <f t="shared" si="24"/>
        <v>Normal</v>
      </c>
      <c r="T574" s="8" t="str">
        <f t="shared" si="25"/>
        <v>Low</v>
      </c>
      <c r="U574" s="8" t="str">
        <f t="shared" si="26"/>
        <v>Night</v>
      </c>
      <c r="V574" s="8"/>
      <c r="W574" s="8"/>
    </row>
    <row r="575" spans="1:23" ht="15.75" thickBot="1" x14ac:dyDescent="0.3">
      <c r="A575" s="5">
        <v>574</v>
      </c>
      <c r="B575" s="6">
        <v>40569</v>
      </c>
      <c r="C575" s="5">
        <v>1</v>
      </c>
      <c r="D575" s="5">
        <v>0</v>
      </c>
      <c r="E575" s="5">
        <v>1</v>
      </c>
      <c r="F575" s="5">
        <v>2</v>
      </c>
      <c r="G575" s="7" t="b">
        <v>0</v>
      </c>
      <c r="H575" s="5">
        <v>3</v>
      </c>
      <c r="I575" s="5">
        <v>3</v>
      </c>
      <c r="J575" s="5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  <c r="Q575" t="s">
        <v>50</v>
      </c>
      <c r="R575" t="s">
        <v>40</v>
      </c>
      <c r="S575" s="8" t="str">
        <f t="shared" si="24"/>
        <v>Normal</v>
      </c>
      <c r="T575" s="8" t="str">
        <f t="shared" si="25"/>
        <v>Low</v>
      </c>
      <c r="U575" s="8" t="str">
        <f t="shared" si="26"/>
        <v>Night</v>
      </c>
      <c r="V575" s="8"/>
      <c r="W575" s="8"/>
    </row>
    <row r="576" spans="1:23" ht="15.75" thickBot="1" x14ac:dyDescent="0.3">
      <c r="A576" s="5">
        <v>575</v>
      </c>
      <c r="B576" s="6">
        <v>40569</v>
      </c>
      <c r="C576" s="5">
        <v>1</v>
      </c>
      <c r="D576" s="5">
        <v>0</v>
      </c>
      <c r="E576" s="5">
        <v>1</v>
      </c>
      <c r="F576" s="5">
        <v>5</v>
      </c>
      <c r="G576" s="7" t="b">
        <v>0</v>
      </c>
      <c r="H576" s="5">
        <v>3</v>
      </c>
      <c r="I576" s="5">
        <v>3</v>
      </c>
      <c r="J576" s="5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  <c r="Q576" t="s">
        <v>50</v>
      </c>
      <c r="R576" t="s">
        <v>40</v>
      </c>
      <c r="S576" s="8" t="str">
        <f t="shared" si="24"/>
        <v>Normal</v>
      </c>
      <c r="T576" s="8" t="str">
        <f t="shared" si="25"/>
        <v>Low</v>
      </c>
      <c r="U576" s="8" t="str">
        <f t="shared" si="26"/>
        <v>Night</v>
      </c>
      <c r="V576" s="8"/>
      <c r="W576" s="8"/>
    </row>
    <row r="577" spans="1:23" ht="15.75" thickBot="1" x14ac:dyDescent="0.3">
      <c r="A577" s="5">
        <v>576</v>
      </c>
      <c r="B577" s="6">
        <v>40569</v>
      </c>
      <c r="C577" s="5">
        <v>1</v>
      </c>
      <c r="D577" s="5">
        <v>0</v>
      </c>
      <c r="E577" s="5">
        <v>1</v>
      </c>
      <c r="F577" s="5">
        <v>6</v>
      </c>
      <c r="G577" s="7" t="b">
        <v>0</v>
      </c>
      <c r="H577" s="5">
        <v>3</v>
      </c>
      <c r="I577" s="5">
        <v>3</v>
      </c>
      <c r="J577" s="5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  <c r="Q577" t="s">
        <v>50</v>
      </c>
      <c r="R577" t="s">
        <v>40</v>
      </c>
      <c r="S577" s="8" t="str">
        <f t="shared" si="24"/>
        <v>Normal</v>
      </c>
      <c r="T577" s="8" t="str">
        <f t="shared" si="25"/>
        <v>Low</v>
      </c>
      <c r="U577" s="8" t="str">
        <f t="shared" si="26"/>
        <v>Morning</v>
      </c>
      <c r="V577" s="8"/>
      <c r="W577" s="8"/>
    </row>
    <row r="578" spans="1:23" ht="15.75" thickBot="1" x14ac:dyDescent="0.3">
      <c r="A578" s="5">
        <v>577</v>
      </c>
      <c r="B578" s="6">
        <v>40569</v>
      </c>
      <c r="C578" s="5">
        <v>1</v>
      </c>
      <c r="D578" s="5">
        <v>0</v>
      </c>
      <c r="E578" s="5">
        <v>1</v>
      </c>
      <c r="F578" s="5">
        <v>7</v>
      </c>
      <c r="G578" s="7" t="b">
        <v>0</v>
      </c>
      <c r="H578" s="5">
        <v>3</v>
      </c>
      <c r="I578" s="5">
        <v>3</v>
      </c>
      <c r="J578" s="5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  <c r="Q578" t="s">
        <v>50</v>
      </c>
      <c r="R578" t="s">
        <v>40</v>
      </c>
      <c r="S578" s="8" t="str">
        <f t="shared" si="24"/>
        <v>Rush Hour</v>
      </c>
      <c r="T578" s="8" t="str">
        <f t="shared" si="25"/>
        <v>Low</v>
      </c>
      <c r="U578" s="8" t="str">
        <f t="shared" si="26"/>
        <v>Morning</v>
      </c>
      <c r="V578" s="8"/>
      <c r="W578" s="8"/>
    </row>
    <row r="579" spans="1:23" ht="15.75" thickBot="1" x14ac:dyDescent="0.3">
      <c r="A579" s="5">
        <v>578</v>
      </c>
      <c r="B579" s="6">
        <v>40569</v>
      </c>
      <c r="C579" s="5">
        <v>1</v>
      </c>
      <c r="D579" s="5">
        <v>0</v>
      </c>
      <c r="E579" s="5">
        <v>1</v>
      </c>
      <c r="F579" s="5">
        <v>8</v>
      </c>
      <c r="G579" s="7" t="b">
        <v>0</v>
      </c>
      <c r="H579" s="5">
        <v>3</v>
      </c>
      <c r="I579" s="5">
        <v>3</v>
      </c>
      <c r="J579" s="5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  <c r="Q579" t="s">
        <v>50</v>
      </c>
      <c r="R579" t="s">
        <v>40</v>
      </c>
      <c r="S579" s="8" t="str">
        <f t="shared" ref="S579:S611" si="27">IF(OR(AND(F579&gt;=7,F579&lt;=9),AND(F579&gt;=17,F579&lt;=19)),"Rush Hour","Normal")</f>
        <v>Rush Hour</v>
      </c>
      <c r="T579" s="8" t="str">
        <f t="shared" ref="T579:T611" si="28">IF(P579&gt;150,"High",IF(P579&gt;50,"Medium","Low"))</f>
        <v>Medium</v>
      </c>
      <c r="U579" s="8" t="str">
        <f t="shared" ref="U579:U611" si="29">IF(F579&lt;6,"Night", IF(F579&lt;12,"Morning", IF(F579&lt;18,"Afternoon","Evening")))</f>
        <v>Morning</v>
      </c>
      <c r="V579" s="8"/>
      <c r="W579" s="8"/>
    </row>
    <row r="580" spans="1:23" ht="15.75" thickBot="1" x14ac:dyDescent="0.3">
      <c r="A580" s="5">
        <v>579</v>
      </c>
      <c r="B580" s="6">
        <v>40569</v>
      </c>
      <c r="C580" s="5">
        <v>1</v>
      </c>
      <c r="D580" s="5">
        <v>0</v>
      </c>
      <c r="E580" s="5">
        <v>1</v>
      </c>
      <c r="F580" s="5">
        <v>9</v>
      </c>
      <c r="G580" s="7" t="b">
        <v>0</v>
      </c>
      <c r="H580" s="5">
        <v>3</v>
      </c>
      <c r="I580" s="5">
        <v>3</v>
      </c>
      <c r="J580" s="5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  <c r="Q580" t="s">
        <v>50</v>
      </c>
      <c r="R580" t="s">
        <v>40</v>
      </c>
      <c r="S580" s="8" t="str">
        <f t="shared" si="27"/>
        <v>Rush Hour</v>
      </c>
      <c r="T580" s="8" t="str">
        <f t="shared" si="28"/>
        <v>Medium</v>
      </c>
      <c r="U580" s="8" t="str">
        <f t="shared" si="29"/>
        <v>Morning</v>
      </c>
      <c r="V580" s="8"/>
      <c r="W580" s="8"/>
    </row>
    <row r="581" spans="1:23" ht="15.75" thickBot="1" x14ac:dyDescent="0.3">
      <c r="A581" s="5">
        <v>580</v>
      </c>
      <c r="B581" s="6">
        <v>40569</v>
      </c>
      <c r="C581" s="5">
        <v>1</v>
      </c>
      <c r="D581" s="5">
        <v>0</v>
      </c>
      <c r="E581" s="5">
        <v>1</v>
      </c>
      <c r="F581" s="5">
        <v>10</v>
      </c>
      <c r="G581" s="7" t="b">
        <v>0</v>
      </c>
      <c r="H581" s="5">
        <v>3</v>
      </c>
      <c r="I581" s="5">
        <v>3</v>
      </c>
      <c r="J581" s="5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  <c r="Q581" t="s">
        <v>50</v>
      </c>
      <c r="R581" t="s">
        <v>40</v>
      </c>
      <c r="S581" s="8" t="str">
        <f t="shared" si="27"/>
        <v>Normal</v>
      </c>
      <c r="T581" s="8" t="str">
        <f t="shared" si="28"/>
        <v>Low</v>
      </c>
      <c r="U581" s="8" t="str">
        <f t="shared" si="29"/>
        <v>Morning</v>
      </c>
      <c r="V581" s="8"/>
      <c r="W581" s="8"/>
    </row>
    <row r="582" spans="1:23" ht="15.75" thickBot="1" x14ac:dyDescent="0.3">
      <c r="A582" s="5">
        <v>581</v>
      </c>
      <c r="B582" s="6">
        <v>40569</v>
      </c>
      <c r="C582" s="5">
        <v>1</v>
      </c>
      <c r="D582" s="5">
        <v>0</v>
      </c>
      <c r="E582" s="5">
        <v>1</v>
      </c>
      <c r="F582" s="5">
        <v>11</v>
      </c>
      <c r="G582" s="7" t="b">
        <v>0</v>
      </c>
      <c r="H582" s="5">
        <v>3</v>
      </c>
      <c r="I582" s="5">
        <v>3</v>
      </c>
      <c r="J582" s="5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  <c r="Q582" t="s">
        <v>50</v>
      </c>
      <c r="R582" t="s">
        <v>40</v>
      </c>
      <c r="S582" s="8" t="str">
        <f t="shared" si="27"/>
        <v>Normal</v>
      </c>
      <c r="T582" s="8" t="str">
        <f t="shared" si="28"/>
        <v>Low</v>
      </c>
      <c r="U582" s="8" t="str">
        <f t="shared" si="29"/>
        <v>Morning</v>
      </c>
      <c r="V582" s="8"/>
      <c r="W582" s="8"/>
    </row>
    <row r="583" spans="1:23" ht="15.75" thickBot="1" x14ac:dyDescent="0.3">
      <c r="A583" s="5">
        <v>582</v>
      </c>
      <c r="B583" s="6">
        <v>40569</v>
      </c>
      <c r="C583" s="5">
        <v>1</v>
      </c>
      <c r="D583" s="5">
        <v>0</v>
      </c>
      <c r="E583" s="5">
        <v>1</v>
      </c>
      <c r="F583" s="5">
        <v>12</v>
      </c>
      <c r="G583" s="7" t="b">
        <v>0</v>
      </c>
      <c r="H583" s="5">
        <v>3</v>
      </c>
      <c r="I583" s="5">
        <v>3</v>
      </c>
      <c r="J583" s="5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  <c r="Q583" t="s">
        <v>50</v>
      </c>
      <c r="R583" t="s">
        <v>40</v>
      </c>
      <c r="S583" s="8" t="str">
        <f t="shared" si="27"/>
        <v>Normal</v>
      </c>
      <c r="T583" s="8" t="str">
        <f t="shared" si="28"/>
        <v>Low</v>
      </c>
      <c r="U583" s="8" t="str">
        <f t="shared" si="29"/>
        <v>Afternoon</v>
      </c>
      <c r="V583" s="8"/>
      <c r="W583" s="8"/>
    </row>
    <row r="584" spans="1:23" ht="15.75" thickBot="1" x14ac:dyDescent="0.3">
      <c r="A584" s="5">
        <v>583</v>
      </c>
      <c r="B584" s="6">
        <v>40569</v>
      </c>
      <c r="C584" s="5">
        <v>1</v>
      </c>
      <c r="D584" s="5">
        <v>0</v>
      </c>
      <c r="E584" s="5">
        <v>1</v>
      </c>
      <c r="F584" s="5">
        <v>13</v>
      </c>
      <c r="G584" s="7" t="b">
        <v>0</v>
      </c>
      <c r="H584" s="5">
        <v>3</v>
      </c>
      <c r="I584" s="5">
        <v>3</v>
      </c>
      <c r="J584" s="5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  <c r="Q584" t="s">
        <v>50</v>
      </c>
      <c r="R584" t="s">
        <v>40</v>
      </c>
      <c r="S584" s="8" t="str">
        <f t="shared" si="27"/>
        <v>Normal</v>
      </c>
      <c r="T584" s="8" t="str">
        <f t="shared" si="28"/>
        <v>Low</v>
      </c>
      <c r="U584" s="8" t="str">
        <f t="shared" si="29"/>
        <v>Afternoon</v>
      </c>
      <c r="V584" s="8"/>
      <c r="W584" s="8"/>
    </row>
    <row r="585" spans="1:23" ht="15.75" thickBot="1" x14ac:dyDescent="0.3">
      <c r="A585" s="5">
        <v>584</v>
      </c>
      <c r="B585" s="6">
        <v>40569</v>
      </c>
      <c r="C585" s="5">
        <v>1</v>
      </c>
      <c r="D585" s="5">
        <v>0</v>
      </c>
      <c r="E585" s="5">
        <v>1</v>
      </c>
      <c r="F585" s="5">
        <v>14</v>
      </c>
      <c r="G585" s="7" t="b">
        <v>0</v>
      </c>
      <c r="H585" s="5">
        <v>3</v>
      </c>
      <c r="I585" s="5">
        <v>3</v>
      </c>
      <c r="J585" s="5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  <c r="Q585" t="s">
        <v>50</v>
      </c>
      <c r="R585" t="s">
        <v>40</v>
      </c>
      <c r="S585" s="8" t="str">
        <f t="shared" si="27"/>
        <v>Normal</v>
      </c>
      <c r="T585" s="8" t="str">
        <f t="shared" si="28"/>
        <v>Low</v>
      </c>
      <c r="U585" s="8" t="str">
        <f t="shared" si="29"/>
        <v>Afternoon</v>
      </c>
      <c r="V585" s="8"/>
      <c r="W585" s="8"/>
    </row>
    <row r="586" spans="1:23" ht="15.75" thickBot="1" x14ac:dyDescent="0.3">
      <c r="A586" s="5">
        <v>585</v>
      </c>
      <c r="B586" s="6">
        <v>40569</v>
      </c>
      <c r="C586" s="5">
        <v>1</v>
      </c>
      <c r="D586" s="5">
        <v>0</v>
      </c>
      <c r="E586" s="5">
        <v>1</v>
      </c>
      <c r="F586" s="5">
        <v>15</v>
      </c>
      <c r="G586" s="7" t="b">
        <v>0</v>
      </c>
      <c r="H586" s="5">
        <v>3</v>
      </c>
      <c r="I586" s="5">
        <v>3</v>
      </c>
      <c r="J586" s="5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  <c r="Q586" t="s">
        <v>50</v>
      </c>
      <c r="R586" t="s">
        <v>40</v>
      </c>
      <c r="S586" s="8" t="str">
        <f t="shared" si="27"/>
        <v>Normal</v>
      </c>
      <c r="T586" s="8" t="str">
        <f t="shared" si="28"/>
        <v>Low</v>
      </c>
      <c r="U586" s="8" t="str">
        <f t="shared" si="29"/>
        <v>Afternoon</v>
      </c>
      <c r="V586" s="8"/>
      <c r="W586" s="8"/>
    </row>
    <row r="587" spans="1:23" ht="15.75" thickBot="1" x14ac:dyDescent="0.3">
      <c r="A587" s="5">
        <v>586</v>
      </c>
      <c r="B587" s="6">
        <v>40569</v>
      </c>
      <c r="C587" s="5">
        <v>1</v>
      </c>
      <c r="D587" s="5">
        <v>0</v>
      </c>
      <c r="E587" s="5">
        <v>1</v>
      </c>
      <c r="F587" s="5">
        <v>16</v>
      </c>
      <c r="G587" s="7" t="b">
        <v>0</v>
      </c>
      <c r="H587" s="5">
        <v>3</v>
      </c>
      <c r="I587" s="5">
        <v>4</v>
      </c>
      <c r="J587" s="5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  <c r="Q587" t="s">
        <v>50</v>
      </c>
      <c r="R587" t="s">
        <v>53</v>
      </c>
      <c r="S587" s="8" t="str">
        <f t="shared" si="27"/>
        <v>Normal</v>
      </c>
      <c r="T587" s="8" t="str">
        <f t="shared" si="28"/>
        <v>Low</v>
      </c>
      <c r="U587" s="8" t="str">
        <f t="shared" si="29"/>
        <v>Afternoon</v>
      </c>
      <c r="V587" s="8"/>
      <c r="W587" s="8"/>
    </row>
    <row r="588" spans="1:23" ht="15.75" thickBot="1" x14ac:dyDescent="0.3">
      <c r="A588" s="5">
        <v>587</v>
      </c>
      <c r="B588" s="6">
        <v>40569</v>
      </c>
      <c r="C588" s="5">
        <v>1</v>
      </c>
      <c r="D588" s="5">
        <v>0</v>
      </c>
      <c r="E588" s="5">
        <v>1</v>
      </c>
      <c r="F588" s="5">
        <v>17</v>
      </c>
      <c r="G588" s="7" t="b">
        <v>0</v>
      </c>
      <c r="H588" s="5">
        <v>3</v>
      </c>
      <c r="I588" s="5">
        <v>3</v>
      </c>
      <c r="J588" s="5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  <c r="Q588" t="s">
        <v>50</v>
      </c>
      <c r="R588" t="s">
        <v>40</v>
      </c>
      <c r="S588" s="8" t="str">
        <f t="shared" si="27"/>
        <v>Rush Hour</v>
      </c>
      <c r="T588" s="8" t="str">
        <f t="shared" si="28"/>
        <v>Low</v>
      </c>
      <c r="U588" s="8" t="str">
        <f t="shared" si="29"/>
        <v>Afternoon</v>
      </c>
      <c r="V588" s="8"/>
      <c r="W588" s="8"/>
    </row>
    <row r="589" spans="1:23" ht="15.75" thickBot="1" x14ac:dyDescent="0.3">
      <c r="A589" s="5">
        <v>588</v>
      </c>
      <c r="B589" s="6">
        <v>40570</v>
      </c>
      <c r="C589" s="5">
        <v>1</v>
      </c>
      <c r="D589" s="5">
        <v>0</v>
      </c>
      <c r="E589" s="5">
        <v>1</v>
      </c>
      <c r="F589" s="5">
        <v>16</v>
      </c>
      <c r="G589" s="7" t="b">
        <v>0</v>
      </c>
      <c r="H589" s="5">
        <v>4</v>
      </c>
      <c r="I589" s="5">
        <v>1</v>
      </c>
      <c r="J589" s="5">
        <v>0.22</v>
      </c>
      <c r="K589">
        <v>0.2273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  <c r="Q589" t="s">
        <v>51</v>
      </c>
      <c r="R589" t="s">
        <v>22</v>
      </c>
      <c r="S589" s="8" t="str">
        <f t="shared" si="27"/>
        <v>Normal</v>
      </c>
      <c r="T589" s="8" t="str">
        <f t="shared" si="28"/>
        <v>Low</v>
      </c>
      <c r="U589" s="8" t="str">
        <f t="shared" si="29"/>
        <v>Afternoon</v>
      </c>
      <c r="V589" s="8"/>
      <c r="W589" s="8"/>
    </row>
    <row r="590" spans="1:23" ht="15.75" thickBot="1" x14ac:dyDescent="0.3">
      <c r="A590" s="5">
        <v>589</v>
      </c>
      <c r="B590" s="6">
        <v>40570</v>
      </c>
      <c r="C590" s="5">
        <v>1</v>
      </c>
      <c r="D590" s="5">
        <v>0</v>
      </c>
      <c r="E590" s="5">
        <v>1</v>
      </c>
      <c r="F590" s="5">
        <v>17</v>
      </c>
      <c r="G590" s="7" t="b">
        <v>0</v>
      </c>
      <c r="H590" s="5">
        <v>4</v>
      </c>
      <c r="I590" s="5">
        <v>1</v>
      </c>
      <c r="J590" s="5">
        <v>0.22</v>
      </c>
      <c r="K590">
        <v>0.2424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  <c r="Q590" t="s">
        <v>51</v>
      </c>
      <c r="R590" t="s">
        <v>22</v>
      </c>
      <c r="S590" s="8" t="str">
        <f t="shared" si="27"/>
        <v>Rush Hour</v>
      </c>
      <c r="T590" s="8" t="str">
        <f t="shared" si="28"/>
        <v>Medium</v>
      </c>
      <c r="U590" s="8" t="str">
        <f t="shared" si="29"/>
        <v>Afternoon</v>
      </c>
      <c r="V590" s="8"/>
      <c r="W590" s="8"/>
    </row>
    <row r="591" spans="1:23" ht="15.75" thickBot="1" x14ac:dyDescent="0.3">
      <c r="A591" s="5">
        <v>590</v>
      </c>
      <c r="B591" s="6">
        <v>40570</v>
      </c>
      <c r="C591" s="5">
        <v>1</v>
      </c>
      <c r="D591" s="5">
        <v>0</v>
      </c>
      <c r="E591" s="5">
        <v>1</v>
      </c>
      <c r="F591" s="5">
        <v>18</v>
      </c>
      <c r="G591" s="7" t="b">
        <v>0</v>
      </c>
      <c r="H591" s="5">
        <v>4</v>
      </c>
      <c r="I591" s="5">
        <v>1</v>
      </c>
      <c r="J591" s="5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  <c r="Q591" t="s">
        <v>51</v>
      </c>
      <c r="R591" t="s">
        <v>22</v>
      </c>
      <c r="S591" s="8" t="str">
        <f t="shared" si="27"/>
        <v>Rush Hour</v>
      </c>
      <c r="T591" s="8" t="str">
        <f t="shared" si="28"/>
        <v>Medium</v>
      </c>
      <c r="U591" s="8" t="str">
        <f t="shared" si="29"/>
        <v>Evening</v>
      </c>
      <c r="V591" s="8"/>
      <c r="W591" s="8"/>
    </row>
    <row r="592" spans="1:23" ht="15.75" thickBot="1" x14ac:dyDescent="0.3">
      <c r="A592" s="5">
        <v>591</v>
      </c>
      <c r="B592" s="6">
        <v>40570</v>
      </c>
      <c r="C592" s="5">
        <v>1</v>
      </c>
      <c r="D592" s="5">
        <v>0</v>
      </c>
      <c r="E592" s="5">
        <v>1</v>
      </c>
      <c r="F592" s="5">
        <v>19</v>
      </c>
      <c r="G592" s="7" t="b">
        <v>0</v>
      </c>
      <c r="H592" s="5">
        <v>4</v>
      </c>
      <c r="I592" s="5">
        <v>1</v>
      </c>
      <c r="J592" s="5">
        <v>0.2</v>
      </c>
      <c r="K592">
        <v>0.2273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  <c r="Q592" t="s">
        <v>51</v>
      </c>
      <c r="R592" t="s">
        <v>22</v>
      </c>
      <c r="S592" s="8" t="str">
        <f t="shared" si="27"/>
        <v>Rush Hour</v>
      </c>
      <c r="T592" s="8" t="str">
        <f t="shared" si="28"/>
        <v>Medium</v>
      </c>
      <c r="U592" s="8" t="str">
        <f t="shared" si="29"/>
        <v>Evening</v>
      </c>
      <c r="V592" s="8"/>
      <c r="W592" s="8"/>
    </row>
    <row r="593" spans="1:23" ht="15.75" thickBot="1" x14ac:dyDescent="0.3">
      <c r="A593" s="5">
        <v>592</v>
      </c>
      <c r="B593" s="6">
        <v>40570</v>
      </c>
      <c r="C593" s="5">
        <v>1</v>
      </c>
      <c r="D593" s="5">
        <v>0</v>
      </c>
      <c r="E593" s="5">
        <v>1</v>
      </c>
      <c r="F593" s="5">
        <v>20</v>
      </c>
      <c r="G593" s="7" t="b">
        <v>0</v>
      </c>
      <c r="H593" s="5">
        <v>4</v>
      </c>
      <c r="I593" s="5">
        <v>1</v>
      </c>
      <c r="J593" s="5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  <c r="Q593" t="s">
        <v>51</v>
      </c>
      <c r="R593" t="s">
        <v>22</v>
      </c>
      <c r="S593" s="8" t="str">
        <f t="shared" si="27"/>
        <v>Normal</v>
      </c>
      <c r="T593" s="8" t="str">
        <f t="shared" si="28"/>
        <v>Medium</v>
      </c>
      <c r="U593" s="8" t="str">
        <f t="shared" si="29"/>
        <v>Evening</v>
      </c>
      <c r="V593" s="8"/>
      <c r="W593" s="8"/>
    </row>
    <row r="594" spans="1:23" ht="15.75" thickBot="1" x14ac:dyDescent="0.3">
      <c r="A594" s="5">
        <v>593</v>
      </c>
      <c r="B594" s="6">
        <v>40570</v>
      </c>
      <c r="C594" s="5">
        <v>1</v>
      </c>
      <c r="D594" s="5">
        <v>0</v>
      </c>
      <c r="E594" s="5">
        <v>1</v>
      </c>
      <c r="F594" s="5">
        <v>21</v>
      </c>
      <c r="G594" s="7" t="b">
        <v>0</v>
      </c>
      <c r="H594" s="5">
        <v>4</v>
      </c>
      <c r="I594" s="5">
        <v>1</v>
      </c>
      <c r="J594" s="5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  <c r="Q594" t="s">
        <v>51</v>
      </c>
      <c r="R594" t="s">
        <v>22</v>
      </c>
      <c r="S594" s="8" t="str">
        <f t="shared" si="27"/>
        <v>Normal</v>
      </c>
      <c r="T594" s="8" t="str">
        <f t="shared" si="28"/>
        <v>Low</v>
      </c>
      <c r="U594" s="8" t="str">
        <f t="shared" si="29"/>
        <v>Evening</v>
      </c>
      <c r="V594" s="8"/>
      <c r="W594" s="8"/>
    </row>
    <row r="595" spans="1:23" ht="15.75" thickBot="1" x14ac:dyDescent="0.3">
      <c r="A595" s="5">
        <v>594</v>
      </c>
      <c r="B595" s="6">
        <v>40570</v>
      </c>
      <c r="C595" s="5">
        <v>1</v>
      </c>
      <c r="D595" s="5">
        <v>0</v>
      </c>
      <c r="E595" s="5">
        <v>1</v>
      </c>
      <c r="F595" s="5">
        <v>22</v>
      </c>
      <c r="G595" s="7" t="b">
        <v>0</v>
      </c>
      <c r="H595" s="5">
        <v>4</v>
      </c>
      <c r="I595" s="5">
        <v>1</v>
      </c>
      <c r="J595" s="5">
        <v>0.18</v>
      </c>
      <c r="K595">
        <v>0.21210000000000001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  <c r="Q595" t="s">
        <v>51</v>
      </c>
      <c r="R595" t="s">
        <v>22</v>
      </c>
      <c r="S595" s="8" t="str">
        <f t="shared" si="27"/>
        <v>Normal</v>
      </c>
      <c r="T595" s="8" t="str">
        <f t="shared" si="28"/>
        <v>Low</v>
      </c>
      <c r="U595" s="8" t="str">
        <f t="shared" si="29"/>
        <v>Evening</v>
      </c>
      <c r="V595" s="8"/>
      <c r="W595" s="8"/>
    </row>
    <row r="596" spans="1:23" ht="15.75" thickBot="1" x14ac:dyDescent="0.3">
      <c r="A596" s="5">
        <v>595</v>
      </c>
      <c r="B596" s="6">
        <v>40570</v>
      </c>
      <c r="C596" s="5">
        <v>1</v>
      </c>
      <c r="D596" s="5">
        <v>0</v>
      </c>
      <c r="E596" s="5">
        <v>1</v>
      </c>
      <c r="F596" s="5">
        <v>23</v>
      </c>
      <c r="G596" s="7" t="b">
        <v>0</v>
      </c>
      <c r="H596" s="5">
        <v>4</v>
      </c>
      <c r="I596" s="5">
        <v>1</v>
      </c>
      <c r="J596" s="5">
        <v>0.18</v>
      </c>
      <c r="K596">
        <v>0.19700000000000001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  <c r="Q596" t="s">
        <v>51</v>
      </c>
      <c r="R596" t="s">
        <v>22</v>
      </c>
      <c r="S596" s="8" t="str">
        <f t="shared" si="27"/>
        <v>Normal</v>
      </c>
      <c r="T596" s="8" t="str">
        <f t="shared" si="28"/>
        <v>Low</v>
      </c>
      <c r="U596" s="8" t="str">
        <f t="shared" si="29"/>
        <v>Evening</v>
      </c>
      <c r="V596" s="8"/>
      <c r="W596" s="8"/>
    </row>
    <row r="597" spans="1:23" ht="15.75" thickBot="1" x14ac:dyDescent="0.3">
      <c r="A597" s="5">
        <v>596</v>
      </c>
      <c r="B597" s="6">
        <v>40571</v>
      </c>
      <c r="C597" s="5">
        <v>1</v>
      </c>
      <c r="D597" s="5">
        <v>0</v>
      </c>
      <c r="E597" s="5">
        <v>1</v>
      </c>
      <c r="F597" s="5">
        <v>0</v>
      </c>
      <c r="G597" s="7" t="b">
        <v>0</v>
      </c>
      <c r="H597" s="5">
        <v>5</v>
      </c>
      <c r="I597" s="5">
        <v>2</v>
      </c>
      <c r="J597" s="5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  <c r="Q597" t="s">
        <v>52</v>
      </c>
      <c r="R597" t="s">
        <v>26</v>
      </c>
      <c r="S597" s="8" t="str">
        <f t="shared" si="27"/>
        <v>Normal</v>
      </c>
      <c r="T597" s="8" t="str">
        <f t="shared" si="28"/>
        <v>Low</v>
      </c>
      <c r="U597" s="8" t="str">
        <f t="shared" si="29"/>
        <v>Night</v>
      </c>
      <c r="V597" s="8"/>
      <c r="W597" s="8"/>
    </row>
    <row r="598" spans="1:23" ht="15.75" thickBot="1" x14ac:dyDescent="0.3">
      <c r="A598" s="5">
        <v>597</v>
      </c>
      <c r="B598" s="6">
        <v>40571</v>
      </c>
      <c r="C598" s="5">
        <v>1</v>
      </c>
      <c r="D598" s="5">
        <v>0</v>
      </c>
      <c r="E598" s="5">
        <v>1</v>
      </c>
      <c r="F598" s="5">
        <v>1</v>
      </c>
      <c r="G598" s="7" t="b">
        <v>0</v>
      </c>
      <c r="H598" s="5">
        <v>5</v>
      </c>
      <c r="I598" s="5">
        <v>2</v>
      </c>
      <c r="J598" s="5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  <c r="Q598" t="s">
        <v>52</v>
      </c>
      <c r="R598" t="s">
        <v>26</v>
      </c>
      <c r="S598" s="8" t="str">
        <f t="shared" si="27"/>
        <v>Normal</v>
      </c>
      <c r="T598" s="8" t="str">
        <f t="shared" si="28"/>
        <v>Low</v>
      </c>
      <c r="U598" s="8" t="str">
        <f t="shared" si="29"/>
        <v>Night</v>
      </c>
      <c r="V598" s="8"/>
      <c r="W598" s="8"/>
    </row>
    <row r="599" spans="1:23" ht="15.75" thickBot="1" x14ac:dyDescent="0.3">
      <c r="A599" s="5">
        <v>598</v>
      </c>
      <c r="B599" s="6">
        <v>40571</v>
      </c>
      <c r="C599" s="5">
        <v>1</v>
      </c>
      <c r="D599" s="5">
        <v>0</v>
      </c>
      <c r="E599" s="5">
        <v>1</v>
      </c>
      <c r="F599" s="5">
        <v>2</v>
      </c>
      <c r="G599" s="7" t="b">
        <v>0</v>
      </c>
      <c r="H599" s="5">
        <v>5</v>
      </c>
      <c r="I599" s="5">
        <v>2</v>
      </c>
      <c r="J599" s="5">
        <v>0.2</v>
      </c>
      <c r="K599">
        <v>0.21210000000000001</v>
      </c>
      <c r="L599">
        <v>0.75</v>
      </c>
      <c r="M599">
        <v>0.16420000000000001</v>
      </c>
      <c r="N599">
        <v>0</v>
      </c>
      <c r="O599">
        <v>2</v>
      </c>
      <c r="P599">
        <v>2</v>
      </c>
      <c r="Q599" t="s">
        <v>52</v>
      </c>
      <c r="R599" t="s">
        <v>26</v>
      </c>
      <c r="S599" s="8" t="str">
        <f t="shared" si="27"/>
        <v>Normal</v>
      </c>
      <c r="T599" s="8" t="str">
        <f t="shared" si="28"/>
        <v>Low</v>
      </c>
      <c r="U599" s="8" t="str">
        <f t="shared" si="29"/>
        <v>Night</v>
      </c>
      <c r="V599" s="8"/>
      <c r="W599" s="8"/>
    </row>
    <row r="600" spans="1:23" ht="15.75" thickBot="1" x14ac:dyDescent="0.3">
      <c r="A600" s="5">
        <v>599</v>
      </c>
      <c r="B600" s="6">
        <v>40571</v>
      </c>
      <c r="C600" s="5">
        <v>1</v>
      </c>
      <c r="D600" s="5">
        <v>0</v>
      </c>
      <c r="E600" s="5">
        <v>1</v>
      </c>
      <c r="F600" s="5">
        <v>3</v>
      </c>
      <c r="G600" s="7" t="b">
        <v>0</v>
      </c>
      <c r="H600" s="5">
        <v>5</v>
      </c>
      <c r="I600" s="5">
        <v>2</v>
      </c>
      <c r="J600" s="5">
        <v>0.2</v>
      </c>
      <c r="K600"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  <c r="Q600" t="s">
        <v>52</v>
      </c>
      <c r="R600" t="s">
        <v>26</v>
      </c>
      <c r="S600" s="8" t="str">
        <f t="shared" si="27"/>
        <v>Normal</v>
      </c>
      <c r="T600" s="8" t="str">
        <f t="shared" si="28"/>
        <v>Low</v>
      </c>
      <c r="U600" s="8" t="str">
        <f t="shared" si="29"/>
        <v>Night</v>
      </c>
      <c r="V600" s="8"/>
      <c r="W600" s="8"/>
    </row>
    <row r="601" spans="1:23" ht="15.75" thickBot="1" x14ac:dyDescent="0.3">
      <c r="A601" s="5">
        <v>600</v>
      </c>
      <c r="B601" s="6">
        <v>40571</v>
      </c>
      <c r="C601" s="5">
        <v>1</v>
      </c>
      <c r="D601" s="5">
        <v>0</v>
      </c>
      <c r="E601" s="5">
        <v>1</v>
      </c>
      <c r="F601" s="5">
        <v>5</v>
      </c>
      <c r="G601" s="7" t="b">
        <v>0</v>
      </c>
      <c r="H601" s="5">
        <v>5</v>
      </c>
      <c r="I601" s="5">
        <v>2</v>
      </c>
      <c r="J601" s="5">
        <v>0.18</v>
      </c>
      <c r="K601">
        <v>0.21210000000000001</v>
      </c>
      <c r="L601">
        <v>0.8</v>
      </c>
      <c r="M601">
        <v>0.1045</v>
      </c>
      <c r="N601">
        <v>0</v>
      </c>
      <c r="O601">
        <v>4</v>
      </c>
      <c r="P601">
        <v>4</v>
      </c>
      <c r="Q601" t="s">
        <v>52</v>
      </c>
      <c r="R601" t="s">
        <v>26</v>
      </c>
      <c r="S601" s="8" t="str">
        <f t="shared" si="27"/>
        <v>Normal</v>
      </c>
      <c r="T601" s="8" t="str">
        <f t="shared" si="28"/>
        <v>Low</v>
      </c>
      <c r="U601" s="8" t="str">
        <f t="shared" si="29"/>
        <v>Night</v>
      </c>
      <c r="V601" s="8"/>
      <c r="W601" s="8"/>
    </row>
    <row r="602" spans="1:23" ht="15.75" thickBot="1" x14ac:dyDescent="0.3">
      <c r="A602" s="5">
        <v>601</v>
      </c>
      <c r="B602" s="6">
        <v>40571</v>
      </c>
      <c r="C602" s="5">
        <v>1</v>
      </c>
      <c r="D602" s="5">
        <v>0</v>
      </c>
      <c r="E602" s="5">
        <v>1</v>
      </c>
      <c r="F602" s="5">
        <v>6</v>
      </c>
      <c r="G602" s="7" t="b">
        <v>0</v>
      </c>
      <c r="H602" s="5">
        <v>5</v>
      </c>
      <c r="I602" s="5">
        <v>2</v>
      </c>
      <c r="J602" s="5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  <c r="Q602" t="s">
        <v>52</v>
      </c>
      <c r="R602" t="s">
        <v>26</v>
      </c>
      <c r="S602" s="8" t="str">
        <f t="shared" si="27"/>
        <v>Normal</v>
      </c>
      <c r="T602" s="8" t="str">
        <f t="shared" si="28"/>
        <v>Low</v>
      </c>
      <c r="U602" s="8" t="str">
        <f t="shared" si="29"/>
        <v>Morning</v>
      </c>
      <c r="V602" s="8"/>
      <c r="W602" s="8"/>
    </row>
    <row r="603" spans="1:23" ht="15.75" thickBot="1" x14ac:dyDescent="0.3">
      <c r="A603" s="5">
        <v>602</v>
      </c>
      <c r="B603" s="6">
        <v>40571</v>
      </c>
      <c r="C603" s="5">
        <v>1</v>
      </c>
      <c r="D603" s="5">
        <v>0</v>
      </c>
      <c r="E603" s="5">
        <v>1</v>
      </c>
      <c r="F603" s="5">
        <v>7</v>
      </c>
      <c r="G603" s="7" t="b">
        <v>0</v>
      </c>
      <c r="H603" s="5">
        <v>5</v>
      </c>
      <c r="I603" s="5">
        <v>2</v>
      </c>
      <c r="J603" s="5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  <c r="Q603" t="s">
        <v>52</v>
      </c>
      <c r="R603" t="s">
        <v>26</v>
      </c>
      <c r="S603" s="8" t="str">
        <f t="shared" si="27"/>
        <v>Rush Hour</v>
      </c>
      <c r="T603" s="8" t="str">
        <f t="shared" si="28"/>
        <v>Medium</v>
      </c>
      <c r="U603" s="8" t="str">
        <f t="shared" si="29"/>
        <v>Morning</v>
      </c>
      <c r="V603" s="8"/>
      <c r="W603" s="8"/>
    </row>
    <row r="604" spans="1:23" ht="15.75" thickBot="1" x14ac:dyDescent="0.3">
      <c r="A604" s="5">
        <v>603</v>
      </c>
      <c r="B604" s="6">
        <v>40571</v>
      </c>
      <c r="C604" s="5">
        <v>1</v>
      </c>
      <c r="D604" s="5">
        <v>0</v>
      </c>
      <c r="E604" s="5">
        <v>1</v>
      </c>
      <c r="F604" s="5">
        <v>8</v>
      </c>
      <c r="G604" s="7" t="b">
        <v>0</v>
      </c>
      <c r="H604" s="5">
        <v>5</v>
      </c>
      <c r="I604" s="5">
        <v>2</v>
      </c>
      <c r="J604" s="5">
        <v>0.16</v>
      </c>
      <c r="K604">
        <v>0.19700000000000001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  <c r="Q604" t="s">
        <v>52</v>
      </c>
      <c r="R604" t="s">
        <v>26</v>
      </c>
      <c r="S604" s="8" t="str">
        <f t="shared" si="27"/>
        <v>Rush Hour</v>
      </c>
      <c r="T604" s="8" t="str">
        <f t="shared" si="28"/>
        <v>High</v>
      </c>
      <c r="U604" s="8" t="str">
        <f t="shared" si="29"/>
        <v>Morning</v>
      </c>
      <c r="V604" s="8"/>
      <c r="W604" s="8"/>
    </row>
    <row r="605" spans="1:23" ht="15.75" thickBot="1" x14ac:dyDescent="0.3">
      <c r="A605" s="5">
        <v>604</v>
      </c>
      <c r="B605" s="6">
        <v>40571</v>
      </c>
      <c r="C605" s="5">
        <v>1</v>
      </c>
      <c r="D605" s="5">
        <v>0</v>
      </c>
      <c r="E605" s="5">
        <v>1</v>
      </c>
      <c r="F605" s="5">
        <v>9</v>
      </c>
      <c r="G605" s="7" t="b">
        <v>0</v>
      </c>
      <c r="H605" s="5">
        <v>5</v>
      </c>
      <c r="I605" s="5">
        <v>3</v>
      </c>
      <c r="J605" s="5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  <c r="Q605" t="s">
        <v>52</v>
      </c>
      <c r="R605" t="s">
        <v>40</v>
      </c>
      <c r="S605" s="8" t="str">
        <f t="shared" si="27"/>
        <v>Rush Hour</v>
      </c>
      <c r="T605" s="8" t="str">
        <f t="shared" si="28"/>
        <v>Medium</v>
      </c>
      <c r="U605" s="8" t="str">
        <f t="shared" si="29"/>
        <v>Morning</v>
      </c>
      <c r="V605" s="8"/>
      <c r="W605" s="8"/>
    </row>
    <row r="606" spans="1:23" ht="15.75" thickBot="1" x14ac:dyDescent="0.3">
      <c r="A606" s="5">
        <v>605</v>
      </c>
      <c r="B606" s="6">
        <v>40571</v>
      </c>
      <c r="C606" s="5">
        <v>1</v>
      </c>
      <c r="D606" s="5">
        <v>0</v>
      </c>
      <c r="E606" s="5">
        <v>1</v>
      </c>
      <c r="F606" s="5">
        <v>10</v>
      </c>
      <c r="G606" s="7" t="b">
        <v>0</v>
      </c>
      <c r="H606" s="5">
        <v>5</v>
      </c>
      <c r="I606" s="5">
        <v>3</v>
      </c>
      <c r="J606" s="5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  <c r="Q606" t="s">
        <v>52</v>
      </c>
      <c r="R606" t="s">
        <v>40</v>
      </c>
      <c r="S606" s="8" t="str">
        <f t="shared" si="27"/>
        <v>Normal</v>
      </c>
      <c r="T606" s="8" t="str">
        <f t="shared" si="28"/>
        <v>Low</v>
      </c>
      <c r="U606" s="8" t="str">
        <f t="shared" si="29"/>
        <v>Morning</v>
      </c>
      <c r="V606" s="8"/>
      <c r="W606" s="8"/>
    </row>
    <row r="607" spans="1:23" ht="15.75" thickBot="1" x14ac:dyDescent="0.3">
      <c r="A607" s="5">
        <v>606</v>
      </c>
      <c r="B607" s="6">
        <v>40571</v>
      </c>
      <c r="C607" s="5">
        <v>1</v>
      </c>
      <c r="D607" s="5">
        <v>0</v>
      </c>
      <c r="E607" s="5">
        <v>1</v>
      </c>
      <c r="F607" s="5">
        <v>11</v>
      </c>
      <c r="G607" s="7" t="b">
        <v>0</v>
      </c>
      <c r="H607" s="5">
        <v>5</v>
      </c>
      <c r="I607" s="5">
        <v>3</v>
      </c>
      <c r="J607" s="5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  <c r="Q607" t="s">
        <v>52</v>
      </c>
      <c r="R607" t="s">
        <v>40</v>
      </c>
      <c r="S607" s="8" t="str">
        <f t="shared" si="27"/>
        <v>Normal</v>
      </c>
      <c r="T607" s="8" t="str">
        <f t="shared" si="28"/>
        <v>Low</v>
      </c>
      <c r="U607" s="8" t="str">
        <f t="shared" si="29"/>
        <v>Morning</v>
      </c>
      <c r="V607" s="8"/>
      <c r="W607" s="8"/>
    </row>
    <row r="608" spans="1:23" ht="15.75" thickBot="1" x14ac:dyDescent="0.3">
      <c r="A608" s="5">
        <v>607</v>
      </c>
      <c r="B608" s="6">
        <v>40571</v>
      </c>
      <c r="C608" s="5">
        <v>1</v>
      </c>
      <c r="D608" s="5">
        <v>0</v>
      </c>
      <c r="E608" s="5">
        <v>1</v>
      </c>
      <c r="F608" s="5">
        <v>12</v>
      </c>
      <c r="G608" s="7" t="b">
        <v>0</v>
      </c>
      <c r="H608" s="5">
        <v>5</v>
      </c>
      <c r="I608" s="5">
        <v>3</v>
      </c>
      <c r="J608" s="5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  <c r="Q608" t="s">
        <v>52</v>
      </c>
      <c r="R608" t="s">
        <v>40</v>
      </c>
      <c r="S608" s="8" t="str">
        <f t="shared" si="27"/>
        <v>Normal</v>
      </c>
      <c r="T608" s="8" t="str">
        <f t="shared" si="28"/>
        <v>Low</v>
      </c>
      <c r="U608" s="8" t="str">
        <f t="shared" si="29"/>
        <v>Afternoon</v>
      </c>
      <c r="V608" s="8"/>
      <c r="W608" s="8"/>
    </row>
    <row r="609" spans="1:23" ht="15.75" thickBot="1" x14ac:dyDescent="0.3">
      <c r="A609" s="5">
        <v>608</v>
      </c>
      <c r="B609" s="6">
        <v>40571</v>
      </c>
      <c r="C609" s="5">
        <v>1</v>
      </c>
      <c r="D609" s="5">
        <v>0</v>
      </c>
      <c r="E609" s="5">
        <v>1</v>
      </c>
      <c r="F609" s="5">
        <v>13</v>
      </c>
      <c r="G609" s="7" t="b">
        <v>0</v>
      </c>
      <c r="H609" s="5">
        <v>5</v>
      </c>
      <c r="I609" s="5">
        <v>3</v>
      </c>
      <c r="J609" s="5">
        <v>0.18</v>
      </c>
      <c r="K609">
        <v>0.21210000000000001</v>
      </c>
      <c r="L609">
        <v>0.93</v>
      </c>
      <c r="M609">
        <v>0.1045</v>
      </c>
      <c r="N609">
        <v>0</v>
      </c>
      <c r="O609">
        <v>31</v>
      </c>
      <c r="P609">
        <v>31</v>
      </c>
      <c r="Q609" t="s">
        <v>52</v>
      </c>
      <c r="R609" t="s">
        <v>40</v>
      </c>
      <c r="S609" s="8" t="str">
        <f t="shared" si="27"/>
        <v>Normal</v>
      </c>
      <c r="T609" s="8" t="str">
        <f t="shared" si="28"/>
        <v>Low</v>
      </c>
      <c r="U609" s="8" t="str">
        <f t="shared" si="29"/>
        <v>Afternoon</v>
      </c>
      <c r="V609" s="8"/>
      <c r="W609" s="8"/>
    </row>
    <row r="610" spans="1:23" ht="15.75" thickBot="1" x14ac:dyDescent="0.3">
      <c r="A610" s="5">
        <v>609</v>
      </c>
      <c r="B610" s="6">
        <v>40571</v>
      </c>
      <c r="C610" s="5">
        <v>1</v>
      </c>
      <c r="D610" s="5">
        <v>0</v>
      </c>
      <c r="E610" s="5">
        <v>1</v>
      </c>
      <c r="F610" s="5">
        <v>14</v>
      </c>
      <c r="G610" s="7" t="b">
        <v>0</v>
      </c>
      <c r="H610" s="5">
        <v>5</v>
      </c>
      <c r="I610" s="5">
        <v>3</v>
      </c>
      <c r="J610" s="5">
        <v>0.22</v>
      </c>
      <c r="K610">
        <v>0.2727</v>
      </c>
      <c r="L610">
        <v>0.8</v>
      </c>
      <c r="M610">
        <v>0</v>
      </c>
      <c r="N610">
        <v>2</v>
      </c>
      <c r="O610">
        <v>36</v>
      </c>
      <c r="P610">
        <v>38</v>
      </c>
      <c r="Q610" t="s">
        <v>52</v>
      </c>
      <c r="R610" t="s">
        <v>40</v>
      </c>
      <c r="S610" s="8" t="str">
        <f t="shared" si="27"/>
        <v>Normal</v>
      </c>
      <c r="T610" s="8" t="str">
        <f t="shared" si="28"/>
        <v>Low</v>
      </c>
      <c r="U610" s="8" t="str">
        <f t="shared" si="29"/>
        <v>Afternoon</v>
      </c>
      <c r="V610" s="8"/>
      <c r="W610" s="8"/>
    </row>
    <row r="611" spans="1:23" ht="15.75" thickBot="1" x14ac:dyDescent="0.3">
      <c r="A611" s="5">
        <v>610</v>
      </c>
      <c r="B611" s="6">
        <v>40571</v>
      </c>
      <c r="C611" s="5">
        <v>1</v>
      </c>
      <c r="D611" s="5">
        <v>0</v>
      </c>
      <c r="E611" s="5">
        <v>1</v>
      </c>
      <c r="F611" s="5">
        <v>15</v>
      </c>
      <c r="G611" s="7" t="b">
        <v>0</v>
      </c>
      <c r="H611" s="5">
        <v>5</v>
      </c>
      <c r="I611" s="5">
        <v>2</v>
      </c>
      <c r="J611" s="5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  <c r="Q611" t="s">
        <v>52</v>
      </c>
      <c r="R611" t="s">
        <v>26</v>
      </c>
      <c r="S611" s="8" t="str">
        <f t="shared" si="27"/>
        <v>Normal</v>
      </c>
      <c r="T611" s="8" t="str">
        <f t="shared" si="28"/>
        <v>Low</v>
      </c>
      <c r="U611" s="8" t="str">
        <f t="shared" si="29"/>
        <v>Afternoon</v>
      </c>
      <c r="V611" s="8"/>
      <c r="W611" s="8"/>
    </row>
  </sheetData>
  <autoFilter ref="F1:U1" xr:uid="{3B877B57-4FF3-4702-AA4F-D47BCEA268B8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2026-07-17T04:31:17Z</dcterms:created>
  <dcterms:modified xsi:type="dcterms:W3CDTF">2026-07-18T04:02:33Z</dcterms:modified>
</cp:coreProperties>
</file>