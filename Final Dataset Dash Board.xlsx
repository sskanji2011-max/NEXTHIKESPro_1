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DATA SC Project\Project 1\ProjectFinal\All Separated\"/>
    </mc:Choice>
  </mc:AlternateContent>
  <xr:revisionPtr revIDLastSave="0" documentId="13_ncr:1_{E38A77B1-EF23-4CF2-911F-0DDBDC2A1887}" xr6:coauthVersionLast="47" xr6:coauthVersionMax="47" xr10:uidLastSave="{00000000-0000-0000-0000-000000000000}"/>
  <bookViews>
    <workbookView xWindow="-120" yWindow="-120" windowWidth="29040" windowHeight="15720" xr2:uid="{EC113289-4609-4886-B743-C4F7F6F254D2}"/>
  </bookViews>
  <sheets>
    <sheet name="Final D Dashboard" sheetId="1" r:id="rId1"/>
  </sheets>
  <externalReferences>
    <externalReference r:id="rId2"/>
  </externalReferences>
  <definedNames>
    <definedName name="Slicer_Demand_Category">#N/A</definedName>
    <definedName name="Slicer_Rash_Hour">#N/A</definedName>
    <definedName name="Slicer_Times_of_Day1">#N/A</definedName>
    <definedName name="Slicer_Weather">#N/A</definedName>
    <definedName name="Slicer_Weekday_By_Name1">#N/A</definedName>
  </definedNames>
  <calcPr calcId="191029"/>
  <extLst>
    <ext xmlns:x14="http://schemas.microsoft.com/office/spreadsheetml/2009/9/main" uri="{876F7934-8845-4945-9796-88D515C7AA90}">
      <x14:pivotCaches>
        <pivotCache cacheId="5" r:id="rId3"/>
      </x14:pivotCaches>
    </ex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5" i="1" l="1"/>
  <c r="I5" i="1"/>
  <c r="G5" i="1"/>
  <c r="E5" i="1"/>
  <c r="C5" i="1"/>
  <c r="A5" i="1"/>
</calcChain>
</file>

<file path=xl/sharedStrings.xml><?xml version="1.0" encoding="utf-8"?>
<sst xmlns="http://schemas.openxmlformats.org/spreadsheetml/2006/main" count="28" uniqueCount="12">
  <si>
    <t>🚲 BIKE SHARING DEMAND DASHBOARD</t>
  </si>
  <si>
    <t>Total Rides</t>
  </si>
  <si>
    <t>Average Rides/Hour</t>
  </si>
  <si>
    <t>Peak Hour</t>
  </si>
  <si>
    <t>Holiday Hours</t>
  </si>
  <si>
    <t>Registered Share</t>
  </si>
  <si>
    <t>Casual Share</t>
  </si>
  <si>
    <t>across full dataset</t>
  </si>
  <si>
    <t>system-wide average</t>
  </si>
  <si>
    <t>highest avg demand hour</t>
  </si>
  <si>
    <t>flagged holiday hours</t>
  </si>
  <si>
    <t>of total rides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</si>
</sst>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22"/>
      <color rgb="FFFFFFFF"/>
      <name val="Arial"/>
      <family val="2"/>
    </font>
    <font>
      <i/>
      <sz val="11"/>
      <color rgb="FFFFFFFF"/>
      <name val="Arial"/>
      <family val="2"/>
    </font>
    <font>
      <b/>
      <sz val="10"/>
      <color rgb="FFD68A2A"/>
      <name val="Arial"/>
      <family val="2"/>
    </font>
    <font>
      <b/>
      <sz val="24"/>
      <color rgb="FF16324F"/>
      <name val="Arial"/>
      <family val="2"/>
    </font>
    <font>
      <sz val="9"/>
      <color rgb="FF6B7680"/>
      <name val="Arial"/>
      <family val="2"/>
    </font>
  </fonts>
  <fills count="6">
    <fill>
      <patternFill patternType="none"/>
    </fill>
    <fill>
      <patternFill patternType="gray125"/>
    </fill>
    <fill>
      <patternFill patternType="solid">
        <fgColor rgb="FF16324F"/>
        <bgColor indexed="64"/>
      </patternFill>
    </fill>
    <fill>
      <patternFill patternType="solid">
        <fgColor theme="0" tint="-0.499984740745262"/>
        <bgColor indexed="64"/>
      </patternFill>
    </fill>
    <fill>
      <patternFill patternType="solid">
        <fgColor rgb="FF0E2338"/>
        <bgColor indexed="64"/>
      </patternFill>
    </fill>
    <fill>
      <patternFill patternType="solid">
        <fgColor rgb="FFF4F6F8"/>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left" vertical="center" indent="1"/>
    </xf>
    <xf numFmtId="0" fontId="0" fillId="3" borderId="0" xfId="0" applyFill="1"/>
    <xf numFmtId="0" fontId="2" fillId="4" borderId="0" xfId="0" applyFont="1" applyFill="1" applyAlignment="1">
      <alignment horizontal="left" vertical="center" indent="1"/>
    </xf>
    <xf numFmtId="0" fontId="3" fillId="5" borderId="0" xfId="0" applyFont="1" applyFill="1" applyAlignment="1">
      <alignment horizontal="left" vertical="center" indent="1"/>
    </xf>
    <xf numFmtId="0" fontId="4" fillId="5" borderId="0" xfId="0" applyFont="1" applyFill="1" applyAlignment="1">
      <alignment horizontal="left" vertical="center" indent="1"/>
    </xf>
    <xf numFmtId="164" fontId="4" fillId="5" borderId="0" xfId="0" applyNumberFormat="1" applyFont="1" applyFill="1" applyAlignment="1">
      <alignment horizontal="left" vertical="center" indent="1"/>
    </xf>
    <xf numFmtId="0" fontId="5" fillId="5"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16324F"/>
                </a:solidFill>
                <a:latin typeface="+mn-lt"/>
                <a:ea typeface="+mn-ea"/>
                <a:cs typeface="+mn-cs"/>
              </a:defRPr>
            </a:pPr>
            <a:r>
              <a:rPr lang="en-IN"/>
              <a:t>Rides by Time of Day</a:t>
            </a:r>
          </a:p>
        </c:rich>
      </c:tx>
      <c:overlay val="0"/>
      <c:spPr>
        <a:noFill/>
        <a:ln>
          <a:noFill/>
        </a:ln>
        <a:effectLst/>
      </c:sp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pivotFmt>
      <c:pivotFmt>
        <c:idx val="2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2"/>
        <c:spPr>
          <a:solidFill>
            <a:srgbClr val="F2A340"/>
          </a:solidFill>
          <a:ln>
            <a:solidFill>
              <a:srgbClr val="FFFFFF"/>
            </a:solidFill>
          </a:ln>
        </c:spPr>
      </c:pivotFmt>
      <c:pivotFmt>
        <c:idx val="23"/>
        <c:spPr>
          <a:solidFill>
            <a:srgbClr val="3E6680"/>
          </a:solidFill>
          <a:ln>
            <a:solidFill>
              <a:srgbClr val="FFFFFF"/>
            </a:solidFill>
          </a:ln>
        </c:spPr>
        <c:dLbl>
          <c:idx val="0"/>
          <c:layout>
            <c:manualLayout>
              <c:x val="-1.919041746287738E-2"/>
              <c:y val="-1.850632307325220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4"/>
        <c:spPr>
          <a:solidFill>
            <a:srgbClr val="16324F"/>
          </a:solidFill>
          <a:ln>
            <a:solidFill>
              <a:srgbClr val="FFFFFF"/>
            </a:solidFill>
          </a:ln>
        </c:spPr>
      </c:pivotFmt>
      <c:pivotFmt>
        <c:idx val="25"/>
        <c:spPr>
          <a:solidFill>
            <a:srgbClr val="B7C2CA"/>
          </a:solidFill>
          <a:ln>
            <a:solidFill>
              <a:srgbClr val="FFFFFF"/>
            </a:solidFill>
          </a:ln>
        </c:spPr>
      </c:pivotFmt>
      <c:pivotFmt>
        <c:idx val="26"/>
        <c:spPr>
          <a:solidFill>
            <a:srgbClr val="E8ECEF"/>
          </a:solidFill>
          <a:ln>
            <a:solidFill>
              <a:srgbClr val="FFFFFF"/>
            </a:solidFill>
          </a:ln>
        </c:spPr>
      </c:pivotFmt>
      <c:pivotFmt>
        <c:idx val="27"/>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2A340"/>
          </a:solidFill>
          <a:ln>
            <a:solidFill>
              <a:srgbClr val="FFFFFF"/>
            </a:solidFill>
          </a:ln>
        </c:spPr>
      </c:pivotFmt>
      <c:pivotFmt>
        <c:idx val="29"/>
        <c:spPr>
          <a:solidFill>
            <a:srgbClr val="3E6680"/>
          </a:solidFill>
          <a:ln>
            <a:solidFill>
              <a:srgbClr val="FFFFFF"/>
            </a:solidFill>
          </a:ln>
        </c:spPr>
      </c:pivotFmt>
      <c:pivotFmt>
        <c:idx val="30"/>
        <c:spPr>
          <a:solidFill>
            <a:srgbClr val="16324F"/>
          </a:solidFill>
          <a:ln>
            <a:solidFill>
              <a:srgbClr val="FFFFFF"/>
            </a:solidFill>
          </a:ln>
        </c:spPr>
      </c:pivotFmt>
      <c:pivotFmt>
        <c:idx val="31"/>
        <c:spPr>
          <a:solidFill>
            <a:srgbClr val="B7C2CA"/>
          </a:solidFill>
          <a:ln>
            <a:solidFill>
              <a:srgbClr val="FFFFFF"/>
            </a:solidFill>
          </a:ln>
        </c:spPr>
      </c:pivotFmt>
      <c:pivotFmt>
        <c:idx val="32"/>
        <c:spPr>
          <a:solidFill>
            <a:srgbClr val="E8ECEF"/>
          </a:solidFill>
          <a:ln>
            <a:solidFill>
              <a:srgbClr val="FFFFFF"/>
            </a:solidFill>
          </a:ln>
        </c:spPr>
      </c:pivotFmt>
      <c:pivotFmt>
        <c:idx val="3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F2A340"/>
          </a:solidFill>
          <a:ln>
            <a:solidFill>
              <a:srgbClr val="FFFFFF"/>
            </a:solidFill>
          </a:ln>
        </c:spPr>
      </c:pivotFmt>
      <c:pivotFmt>
        <c:idx val="35"/>
        <c:spPr>
          <a:solidFill>
            <a:srgbClr val="3E6680"/>
          </a:solidFill>
          <a:ln>
            <a:solidFill>
              <a:srgbClr val="FFFFFF"/>
            </a:solidFill>
          </a:ln>
        </c:spPr>
      </c:pivotFmt>
      <c:pivotFmt>
        <c:idx val="36"/>
        <c:spPr>
          <a:solidFill>
            <a:srgbClr val="16324F"/>
          </a:solidFill>
          <a:ln>
            <a:solidFill>
              <a:srgbClr val="FFFFFF"/>
            </a:solidFill>
          </a:ln>
        </c:spPr>
      </c:pivotFmt>
      <c:pivotFmt>
        <c:idx val="37"/>
        <c:spPr>
          <a:solidFill>
            <a:srgbClr val="B7C2CA"/>
          </a:solidFill>
          <a:ln>
            <a:solidFill>
              <a:srgbClr val="FFFFFF"/>
            </a:solidFill>
          </a:ln>
        </c:spPr>
      </c:pivotFmt>
      <c:pivotFmt>
        <c:idx val="38"/>
        <c:spPr>
          <a:solidFill>
            <a:srgbClr val="E8ECEF"/>
          </a:solidFill>
          <a:ln>
            <a:solidFill>
              <a:srgbClr val="FFFFFF"/>
            </a:solidFill>
          </a:ln>
        </c:spPr>
      </c:pivotFmt>
      <c:pivotFmt>
        <c:idx val="3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Sum of cnt</c:v>
          </c:tx>
          <c:dPt>
            <c:idx val="0"/>
            <c:bubble3D val="0"/>
            <c:spPr>
              <a:solidFill>
                <a:srgbClr val="F2A340"/>
              </a:solidFill>
              <a:ln>
                <a:solidFill>
                  <a:srgbClr val="FFFFFF"/>
                </a:solidFill>
              </a:ln>
            </c:spPr>
            <c:extLst>
              <c:ext xmlns:c16="http://schemas.microsoft.com/office/drawing/2014/chart" uri="{C3380CC4-5D6E-409C-BE32-E72D297353CC}">
                <c16:uniqueId val="{00000001-136E-4961-9CB2-D4C2F71E9411}"/>
              </c:ext>
            </c:extLst>
          </c:dPt>
          <c:dPt>
            <c:idx val="1"/>
            <c:bubble3D val="0"/>
            <c:spPr>
              <a:solidFill>
                <a:srgbClr val="3E6680"/>
              </a:solidFill>
              <a:ln>
                <a:solidFill>
                  <a:srgbClr val="FFFFFF"/>
                </a:solidFill>
              </a:ln>
            </c:spPr>
            <c:extLst>
              <c:ext xmlns:c16="http://schemas.microsoft.com/office/drawing/2014/chart" uri="{C3380CC4-5D6E-409C-BE32-E72D297353CC}">
                <c16:uniqueId val="{00000003-136E-4961-9CB2-D4C2F71E9411}"/>
              </c:ext>
            </c:extLst>
          </c:dPt>
          <c:dPt>
            <c:idx val="2"/>
            <c:bubble3D val="0"/>
            <c:spPr>
              <a:solidFill>
                <a:srgbClr val="16324F"/>
              </a:solidFill>
              <a:ln>
                <a:solidFill>
                  <a:srgbClr val="FFFFFF"/>
                </a:solidFill>
              </a:ln>
            </c:spPr>
            <c:extLst>
              <c:ext xmlns:c16="http://schemas.microsoft.com/office/drawing/2014/chart" uri="{C3380CC4-5D6E-409C-BE32-E72D297353CC}">
                <c16:uniqueId val="{00000005-136E-4961-9CB2-D4C2F71E9411}"/>
              </c:ext>
            </c:extLst>
          </c:dPt>
          <c:dPt>
            <c:idx val="3"/>
            <c:bubble3D val="0"/>
            <c:spPr>
              <a:solidFill>
                <a:srgbClr val="B7C2CA"/>
              </a:solidFill>
              <a:ln>
                <a:solidFill>
                  <a:srgbClr val="FFFFFF"/>
                </a:solidFill>
              </a:ln>
            </c:spPr>
            <c:extLst>
              <c:ext xmlns:c16="http://schemas.microsoft.com/office/drawing/2014/chart" uri="{C3380CC4-5D6E-409C-BE32-E72D297353CC}">
                <c16:uniqueId val="{00000007-136E-4961-9CB2-D4C2F71E9411}"/>
              </c:ext>
            </c:extLst>
          </c:dPt>
          <c:dPt>
            <c:idx val="4"/>
            <c:bubble3D val="0"/>
            <c:extLst>
              <c:ext xmlns:c16="http://schemas.microsoft.com/office/drawing/2014/chart" uri="{C3380CC4-5D6E-409C-BE32-E72D297353CC}">
                <c16:uniqueId val="{00000008-136E-4961-9CB2-D4C2F71E9411}"/>
              </c:ext>
            </c:extLst>
          </c:dPt>
          <c:dLbls>
            <c:dLbl>
              <c:idx val="0"/>
              <c:layout>
                <c:manualLayout>
                  <c:x val="-4.8911614519186863E-3"/>
                  <c:y val="5.6118485189351329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36E-4961-9CB2-D4C2F71E9411}"/>
                </c:ext>
              </c:extLst>
            </c:dLbl>
            <c:dLbl>
              <c:idx val="1"/>
              <c:layout>
                <c:manualLayout>
                  <c:x val="-1.919041746287738E-2"/>
                  <c:y val="-1.8506323073252208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36E-4961-9CB2-D4C2F71E9411}"/>
                </c:ext>
              </c:extLst>
            </c:dLbl>
            <c:dLbl>
              <c:idx val="2"/>
              <c:layout>
                <c:manualLayout>
                  <c:x val="-6.3279963466781062E-3"/>
                  <c:y val="0.13277502812148481"/>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36E-4961-9CB2-D4C2F71E94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Afternoon</c:v>
              </c:pt>
              <c:pt idx="1">
                <c:v>Evening</c:v>
              </c:pt>
              <c:pt idx="2">
                <c:v>Morning</c:v>
              </c:pt>
              <c:pt idx="3">
                <c:v>Night</c:v>
              </c:pt>
            </c:strLit>
          </c:cat>
          <c:val>
            <c:numLit>
              <c:formatCode>General</c:formatCode>
              <c:ptCount val="4"/>
              <c:pt idx="0">
                <c:v>23308</c:v>
              </c:pt>
              <c:pt idx="1">
                <c:v>16187</c:v>
              </c:pt>
              <c:pt idx="2">
                <c:v>16968</c:v>
              </c:pt>
              <c:pt idx="3">
                <c:v>1841</c:v>
              </c:pt>
            </c:numLit>
          </c:val>
          <c:extLst>
            <c:ext xmlns:c16="http://schemas.microsoft.com/office/drawing/2014/chart" uri="{C3380CC4-5D6E-409C-BE32-E72D297353CC}">
              <c16:uniqueId val="{00000009-136E-4961-9CB2-D4C2F71E9411}"/>
            </c:ext>
          </c:extLst>
        </c:ser>
        <c:ser>
          <c:idx val="1"/>
          <c:order val="1"/>
          <c:tx>
            <c:v>Sum of registered</c:v>
          </c:tx>
          <c:dPt>
            <c:idx val="0"/>
            <c:bubble3D val="0"/>
            <c:spPr>
              <a:solidFill>
                <a:srgbClr val="F2A340"/>
              </a:solidFill>
              <a:ln>
                <a:solidFill>
                  <a:srgbClr val="FFFFFF"/>
                </a:solidFill>
              </a:ln>
            </c:spPr>
            <c:extLst>
              <c:ext xmlns:c16="http://schemas.microsoft.com/office/drawing/2014/chart" uri="{C3380CC4-5D6E-409C-BE32-E72D297353CC}">
                <c16:uniqueId val="{0000000B-136E-4961-9CB2-D4C2F71E9411}"/>
              </c:ext>
            </c:extLst>
          </c:dPt>
          <c:dPt>
            <c:idx val="1"/>
            <c:bubble3D val="0"/>
            <c:spPr>
              <a:solidFill>
                <a:srgbClr val="3E6680"/>
              </a:solidFill>
              <a:ln>
                <a:solidFill>
                  <a:srgbClr val="FFFFFF"/>
                </a:solidFill>
              </a:ln>
            </c:spPr>
            <c:extLst>
              <c:ext xmlns:c16="http://schemas.microsoft.com/office/drawing/2014/chart" uri="{C3380CC4-5D6E-409C-BE32-E72D297353CC}">
                <c16:uniqueId val="{0000000D-136E-4961-9CB2-D4C2F71E9411}"/>
              </c:ext>
            </c:extLst>
          </c:dPt>
          <c:dPt>
            <c:idx val="2"/>
            <c:bubble3D val="0"/>
            <c:spPr>
              <a:solidFill>
                <a:srgbClr val="16324F"/>
              </a:solidFill>
              <a:ln>
                <a:solidFill>
                  <a:srgbClr val="FFFFFF"/>
                </a:solidFill>
              </a:ln>
            </c:spPr>
            <c:extLst>
              <c:ext xmlns:c16="http://schemas.microsoft.com/office/drawing/2014/chart" uri="{C3380CC4-5D6E-409C-BE32-E72D297353CC}">
                <c16:uniqueId val="{0000000F-136E-4961-9CB2-D4C2F71E9411}"/>
              </c:ext>
            </c:extLst>
          </c:dPt>
          <c:dPt>
            <c:idx val="3"/>
            <c:bubble3D val="0"/>
            <c:spPr>
              <a:solidFill>
                <a:srgbClr val="B7C2CA"/>
              </a:solidFill>
              <a:ln>
                <a:solidFill>
                  <a:srgbClr val="FFFFFF"/>
                </a:solidFill>
              </a:ln>
            </c:spPr>
            <c:extLst>
              <c:ext xmlns:c16="http://schemas.microsoft.com/office/drawing/2014/chart" uri="{C3380CC4-5D6E-409C-BE32-E72D297353CC}">
                <c16:uniqueId val="{00000011-136E-4961-9CB2-D4C2F71E9411}"/>
              </c:ext>
            </c:extLst>
          </c:dPt>
          <c:dPt>
            <c:idx val="4"/>
            <c:bubble3D val="0"/>
            <c:extLst>
              <c:ext xmlns:c16="http://schemas.microsoft.com/office/drawing/2014/chart" uri="{C3380CC4-5D6E-409C-BE32-E72D297353CC}">
                <c16:uniqueId val="{00000012-136E-4961-9CB2-D4C2F71E94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Afternoon</c:v>
              </c:pt>
              <c:pt idx="1">
                <c:v>Evening</c:v>
              </c:pt>
              <c:pt idx="2">
                <c:v>Morning</c:v>
              </c:pt>
              <c:pt idx="3">
                <c:v>Night</c:v>
              </c:pt>
            </c:strLit>
          </c:cat>
          <c:val>
            <c:numLit>
              <c:formatCode>General</c:formatCode>
              <c:ptCount val="4"/>
              <c:pt idx="0">
                <c:v>20423</c:v>
              </c:pt>
              <c:pt idx="1">
                <c:v>15317</c:v>
              </c:pt>
              <c:pt idx="2">
                <c:v>16001</c:v>
              </c:pt>
              <c:pt idx="3">
                <c:v>1642</c:v>
              </c:pt>
            </c:numLit>
          </c:val>
          <c:extLst>
            <c:ext xmlns:c16="http://schemas.microsoft.com/office/drawing/2014/chart" uri="{C3380CC4-5D6E-409C-BE32-E72D297353CC}">
              <c16:uniqueId val="{00000013-136E-4961-9CB2-D4C2F71E9411}"/>
            </c:ext>
          </c:extLst>
        </c:ser>
        <c:ser>
          <c:idx val="2"/>
          <c:order val="2"/>
          <c:tx>
            <c:v>Sum of casual</c:v>
          </c:tx>
          <c:dPt>
            <c:idx val="0"/>
            <c:bubble3D val="0"/>
            <c:spPr>
              <a:solidFill>
                <a:srgbClr val="F2A340"/>
              </a:solidFill>
              <a:ln>
                <a:solidFill>
                  <a:srgbClr val="FFFFFF"/>
                </a:solidFill>
              </a:ln>
            </c:spPr>
            <c:extLst>
              <c:ext xmlns:c16="http://schemas.microsoft.com/office/drawing/2014/chart" uri="{C3380CC4-5D6E-409C-BE32-E72D297353CC}">
                <c16:uniqueId val="{00000015-136E-4961-9CB2-D4C2F71E9411}"/>
              </c:ext>
            </c:extLst>
          </c:dPt>
          <c:dPt>
            <c:idx val="1"/>
            <c:bubble3D val="0"/>
            <c:spPr>
              <a:solidFill>
                <a:srgbClr val="3E6680"/>
              </a:solidFill>
              <a:ln>
                <a:solidFill>
                  <a:srgbClr val="FFFFFF"/>
                </a:solidFill>
              </a:ln>
            </c:spPr>
            <c:extLst>
              <c:ext xmlns:c16="http://schemas.microsoft.com/office/drawing/2014/chart" uri="{C3380CC4-5D6E-409C-BE32-E72D297353CC}">
                <c16:uniqueId val="{00000017-136E-4961-9CB2-D4C2F71E9411}"/>
              </c:ext>
            </c:extLst>
          </c:dPt>
          <c:dPt>
            <c:idx val="2"/>
            <c:bubble3D val="0"/>
            <c:spPr>
              <a:solidFill>
                <a:srgbClr val="16324F"/>
              </a:solidFill>
              <a:ln>
                <a:solidFill>
                  <a:srgbClr val="FFFFFF"/>
                </a:solidFill>
              </a:ln>
            </c:spPr>
            <c:extLst>
              <c:ext xmlns:c16="http://schemas.microsoft.com/office/drawing/2014/chart" uri="{C3380CC4-5D6E-409C-BE32-E72D297353CC}">
                <c16:uniqueId val="{00000019-136E-4961-9CB2-D4C2F71E9411}"/>
              </c:ext>
            </c:extLst>
          </c:dPt>
          <c:dPt>
            <c:idx val="3"/>
            <c:bubble3D val="0"/>
            <c:spPr>
              <a:solidFill>
                <a:srgbClr val="B7C2CA"/>
              </a:solidFill>
              <a:ln>
                <a:solidFill>
                  <a:srgbClr val="FFFFFF"/>
                </a:solidFill>
              </a:ln>
            </c:spPr>
            <c:extLst>
              <c:ext xmlns:c16="http://schemas.microsoft.com/office/drawing/2014/chart" uri="{C3380CC4-5D6E-409C-BE32-E72D297353CC}">
                <c16:uniqueId val="{0000001B-136E-4961-9CB2-D4C2F71E9411}"/>
              </c:ext>
            </c:extLst>
          </c:dPt>
          <c:dPt>
            <c:idx val="4"/>
            <c:bubble3D val="0"/>
            <c:extLst>
              <c:ext xmlns:c16="http://schemas.microsoft.com/office/drawing/2014/chart" uri="{C3380CC4-5D6E-409C-BE32-E72D297353CC}">
                <c16:uniqueId val="{0000001C-136E-4961-9CB2-D4C2F71E94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Afternoon</c:v>
              </c:pt>
              <c:pt idx="1">
                <c:v>Evening</c:v>
              </c:pt>
              <c:pt idx="2">
                <c:v>Morning</c:v>
              </c:pt>
              <c:pt idx="3">
                <c:v>Night</c:v>
              </c:pt>
            </c:strLit>
          </c:cat>
          <c:val>
            <c:numLit>
              <c:formatCode>General</c:formatCode>
              <c:ptCount val="4"/>
              <c:pt idx="0">
                <c:v>2885</c:v>
              </c:pt>
              <c:pt idx="1">
                <c:v>870</c:v>
              </c:pt>
              <c:pt idx="2">
                <c:v>967</c:v>
              </c:pt>
              <c:pt idx="3">
                <c:v>199</c:v>
              </c:pt>
            </c:numLit>
          </c:val>
          <c:extLst>
            <c:ext xmlns:c16="http://schemas.microsoft.com/office/drawing/2014/chart" uri="{C3380CC4-5D6E-409C-BE32-E72D297353CC}">
              <c16:uniqueId val="{0000001D-136E-4961-9CB2-D4C2F71E941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6324F"/>
                </a:solidFill>
                <a:latin typeface="+mn-lt"/>
                <a:ea typeface="+mn-ea"/>
                <a:cs typeface="+mn-cs"/>
              </a:defRPr>
            </a:pPr>
            <a:r>
              <a:rPr lang="en-IN" sz="1400" b="0" i="0" u="none" strike="noStrike" baseline="0">
                <a:effectLst/>
              </a:rPr>
              <a:t>Demand Category by Day of Week</a:t>
            </a:r>
            <a:endParaRPr lang="en-IN"/>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6324F"/>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2A3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B7C2C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3E66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E8ECE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High</c:v>
          </c:tx>
          <c:spPr>
            <a:solidFill>
              <a:srgbClr val="F2A340"/>
            </a:solidFill>
            <a:ln>
              <a:noFill/>
            </a:ln>
            <a:effectLst/>
          </c:spPr>
          <c:invertIfNegative val="0"/>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174</c:v>
              </c:pt>
              <c:pt idx="1">
                <c:v>165</c:v>
              </c:pt>
              <c:pt idx="2">
                <c:v>175.06666666666666</c:v>
              </c:pt>
              <c:pt idx="3">
                <c:v>199.16666666666666</c:v>
              </c:pt>
              <c:pt idx="4">
                <c:v>180.91666666666666</c:v>
              </c:pt>
              <c:pt idx="5">
                <c:v>184.64285714285714</c:v>
              </c:pt>
              <c:pt idx="6">
                <c:v>185.42857142857142</c:v>
              </c:pt>
            </c:numLit>
          </c:val>
          <c:extLst>
            <c:ext xmlns:c16="http://schemas.microsoft.com/office/drawing/2014/chart" uri="{C3380CC4-5D6E-409C-BE32-E72D297353CC}">
              <c16:uniqueId val="{00000000-92E8-44EB-8D6A-08E90CA735EC}"/>
            </c:ext>
          </c:extLst>
        </c:ser>
        <c:ser>
          <c:idx val="1"/>
          <c:order val="1"/>
          <c:tx>
            <c:v>Low</c:v>
          </c:tx>
          <c:spPr>
            <a:solidFill>
              <a:srgbClr val="B7C2CA"/>
            </a:solidFill>
            <a:ln>
              <a:noFill/>
            </a:ln>
            <a:effectLst/>
          </c:spPr>
          <c:invertIfNegative val="0"/>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20.948979591836736</c:v>
              </c:pt>
              <c:pt idx="1">
                <c:v>19.121212121212121</c:v>
              </c:pt>
              <c:pt idx="2">
                <c:v>17.421052631578949</c:v>
              </c:pt>
              <c:pt idx="3">
                <c:v>19.94736842105263</c:v>
              </c:pt>
              <c:pt idx="4">
                <c:v>21.698412698412699</c:v>
              </c:pt>
              <c:pt idx="5">
                <c:v>20.037037037037038</c:v>
              </c:pt>
              <c:pt idx="6">
                <c:v>19.8</c:v>
              </c:pt>
            </c:numLit>
          </c:val>
          <c:extLst>
            <c:ext xmlns:c16="http://schemas.microsoft.com/office/drawing/2014/chart" uri="{C3380CC4-5D6E-409C-BE32-E72D297353CC}">
              <c16:uniqueId val="{00000001-92E8-44EB-8D6A-08E90CA735EC}"/>
            </c:ext>
          </c:extLst>
        </c:ser>
        <c:ser>
          <c:idx val="2"/>
          <c:order val="2"/>
          <c:tx>
            <c:v>Medium</c:v>
          </c:tx>
          <c:spPr>
            <a:solidFill>
              <a:srgbClr val="3E6680"/>
            </a:solidFill>
            <a:ln>
              <a:noFill/>
            </a:ln>
            <a:effectLst/>
          </c:spPr>
          <c:invertIfNegative val="0"/>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82.402985074626869</c:v>
              </c:pt>
              <c:pt idx="1">
                <c:v>84.696428571428569</c:v>
              </c:pt>
              <c:pt idx="2">
                <c:v>77.58620689655173</c:v>
              </c:pt>
              <c:pt idx="3">
                <c:v>83.724137931034477</c:v>
              </c:pt>
              <c:pt idx="4">
                <c:v>80.553571428571431</c:v>
              </c:pt>
              <c:pt idx="5">
                <c:v>84.05263157894737</c:v>
              </c:pt>
              <c:pt idx="6">
                <c:v>82.984375</c:v>
              </c:pt>
            </c:numLit>
          </c:val>
          <c:extLst>
            <c:ext xmlns:c16="http://schemas.microsoft.com/office/drawing/2014/chart" uri="{C3380CC4-5D6E-409C-BE32-E72D297353CC}">
              <c16:uniqueId val="{00000002-92E8-44EB-8D6A-08E90CA735EC}"/>
            </c:ext>
          </c:extLst>
        </c:ser>
        <c:dLbls>
          <c:showLegendKey val="0"/>
          <c:showVal val="0"/>
          <c:showCatName val="0"/>
          <c:showSerName val="0"/>
          <c:showPercent val="0"/>
          <c:showBubbleSize val="0"/>
        </c:dLbls>
        <c:gapWidth val="150"/>
        <c:overlap val="100"/>
        <c:axId val="405451040"/>
        <c:axId val="405456864"/>
      </c:barChart>
      <c:catAx>
        <c:axId val="405451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456864"/>
        <c:crosses val="autoZero"/>
        <c:auto val="1"/>
        <c:lblAlgn val="ctr"/>
        <c:lblOffset val="100"/>
        <c:noMultiLvlLbl val="0"/>
      </c:catAx>
      <c:valAx>
        <c:axId val="405456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45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6324F"/>
                </a:solidFill>
                <a:latin typeface="+mn-lt"/>
                <a:ea typeface="+mn-ea"/>
                <a:cs typeface="+mn-cs"/>
              </a:defRPr>
            </a:pPr>
            <a:r>
              <a:rPr lang="en-IN" sz="1400" b="0" i="0" u="none" strike="noStrike" baseline="0">
                <a:effectLst/>
              </a:rPr>
              <a:t>Rides by Weather Condition</a:t>
            </a:r>
            <a:endParaRPr lang="en-IN"/>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6324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37000">
                  <a:srgbClr val="D1DCF0"/>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127000">
              <a:schemeClr val="bg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gradFill>
              <a:gsLst>
                <a:gs pos="37000">
                  <a:srgbClr val="D1DCF0"/>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127000">
              <a:schemeClr val="bg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2A3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1632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E66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casual</c:v>
          </c:tx>
          <c:spPr>
            <a:solidFill>
              <a:srgbClr val="F2A340"/>
            </a:solidFill>
            <a:ln>
              <a:noFill/>
            </a:ln>
            <a:effectLst/>
          </c:spPr>
          <c:invertIfNegative val="0"/>
          <c:cat>
            <c:strLit>
              <c:ptCount val="4"/>
              <c:pt idx="0">
                <c:v>Dark Cloude</c:v>
              </c:pt>
              <c:pt idx="1">
                <c:v>Mild Cold</c:v>
              </c:pt>
              <c:pt idx="2">
                <c:v>More Than Mild</c:v>
              </c:pt>
              <c:pt idx="3">
                <c:v>Thander Storm</c:v>
              </c:pt>
            </c:strLit>
          </c:cat>
          <c:val>
            <c:numLit>
              <c:formatCode>General</c:formatCode>
              <c:ptCount val="4"/>
              <c:pt idx="0">
                <c:v>171</c:v>
              </c:pt>
              <c:pt idx="1">
                <c:v>3211</c:v>
              </c:pt>
              <c:pt idx="2">
                <c:v>1538</c:v>
              </c:pt>
              <c:pt idx="3">
                <c:v>1</c:v>
              </c:pt>
            </c:numLit>
          </c:val>
          <c:extLst>
            <c:ext xmlns:c16="http://schemas.microsoft.com/office/drawing/2014/chart" uri="{C3380CC4-5D6E-409C-BE32-E72D297353CC}">
              <c16:uniqueId val="{00000000-308D-4BB5-B910-3A848BE5911A}"/>
            </c:ext>
          </c:extLst>
        </c:ser>
        <c:ser>
          <c:idx val="1"/>
          <c:order val="1"/>
          <c:tx>
            <c:v>Sum of registered</c:v>
          </c:tx>
          <c:spPr>
            <a:solidFill>
              <a:srgbClr val="16324F"/>
            </a:solidFill>
            <a:ln>
              <a:noFill/>
            </a:ln>
            <a:effectLst/>
          </c:spPr>
          <c:invertIfNegative val="0"/>
          <c:cat>
            <c:strLit>
              <c:ptCount val="4"/>
              <c:pt idx="0">
                <c:v>Dark Cloude</c:v>
              </c:pt>
              <c:pt idx="1">
                <c:v>Mild Cold</c:v>
              </c:pt>
              <c:pt idx="2">
                <c:v>More Than Mild</c:v>
              </c:pt>
              <c:pt idx="3">
                <c:v>Thander Storm</c:v>
              </c:pt>
            </c:strLit>
          </c:cat>
          <c:val>
            <c:numLit>
              <c:formatCode>General</c:formatCode>
              <c:ptCount val="4"/>
              <c:pt idx="0">
                <c:v>2618</c:v>
              </c:pt>
              <c:pt idx="1">
                <c:v>34162</c:v>
              </c:pt>
              <c:pt idx="2">
                <c:v>16568</c:v>
              </c:pt>
              <c:pt idx="3">
                <c:v>35</c:v>
              </c:pt>
            </c:numLit>
          </c:val>
          <c:extLst>
            <c:ext xmlns:c16="http://schemas.microsoft.com/office/drawing/2014/chart" uri="{C3380CC4-5D6E-409C-BE32-E72D297353CC}">
              <c16:uniqueId val="{00000001-308D-4BB5-B910-3A848BE5911A}"/>
            </c:ext>
          </c:extLst>
        </c:ser>
        <c:ser>
          <c:idx val="2"/>
          <c:order val="2"/>
          <c:tx>
            <c:v>Average of cnt</c:v>
          </c:tx>
          <c:spPr>
            <a:solidFill>
              <a:srgbClr val="3E6680"/>
            </a:solidFill>
            <a:ln>
              <a:noFill/>
            </a:ln>
            <a:effectLst/>
          </c:spPr>
          <c:invertIfNegative val="0"/>
          <c:cat>
            <c:strLit>
              <c:ptCount val="4"/>
              <c:pt idx="0">
                <c:v>Dark Cloude</c:v>
              </c:pt>
              <c:pt idx="1">
                <c:v>Mild Cold</c:v>
              </c:pt>
              <c:pt idx="2">
                <c:v>More Than Mild</c:v>
              </c:pt>
              <c:pt idx="3">
                <c:v>Thander Storm</c:v>
              </c:pt>
            </c:strLit>
          </c:cat>
          <c:val>
            <c:numLit>
              <c:formatCode>General</c:formatCode>
              <c:ptCount val="4"/>
              <c:pt idx="0">
                <c:v>33.202380952380949</c:v>
              </c:pt>
              <c:pt idx="1">
                <c:v>61.671617161716171</c:v>
              </c:pt>
              <c:pt idx="2">
                <c:v>58.595469255663431</c:v>
              </c:pt>
              <c:pt idx="3">
                <c:v>36</c:v>
              </c:pt>
            </c:numLit>
          </c:val>
          <c:extLst>
            <c:ext xmlns:c16="http://schemas.microsoft.com/office/drawing/2014/chart" uri="{C3380CC4-5D6E-409C-BE32-E72D297353CC}">
              <c16:uniqueId val="{00000002-308D-4BB5-B910-3A848BE5911A}"/>
            </c:ext>
          </c:extLst>
        </c:ser>
        <c:dLbls>
          <c:showLegendKey val="0"/>
          <c:showVal val="0"/>
          <c:showCatName val="0"/>
          <c:showSerName val="0"/>
          <c:showPercent val="0"/>
          <c:showBubbleSize val="0"/>
        </c:dLbls>
        <c:gapWidth val="219"/>
        <c:overlap val="-27"/>
        <c:axId val="405503872"/>
        <c:axId val="405512192"/>
      </c:barChart>
      <c:catAx>
        <c:axId val="405503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12192"/>
        <c:crosses val="autoZero"/>
        <c:auto val="1"/>
        <c:lblAlgn val="ctr"/>
        <c:lblOffset val="100"/>
        <c:noMultiLvlLbl val="0"/>
      </c:catAx>
      <c:valAx>
        <c:axId val="40551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50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16324F"/>
                </a:solidFill>
                <a:latin typeface="+mn-lt"/>
                <a:ea typeface="+mn-ea"/>
                <a:cs typeface="+mn-cs"/>
              </a:defRPr>
            </a:pPr>
            <a:r>
              <a:rPr lang="en-IN" sz="1400" b="0" i="0" u="none" strike="noStrike" baseline="0">
                <a:effectLst/>
              </a:rPr>
              <a:t>Average Rides by Hour of Day</a:t>
            </a:r>
            <a:endParaRPr lang="en-IN"/>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16324F"/>
              </a:solidFill>
              <a:latin typeface="+mn-lt"/>
              <a:ea typeface="+mn-ea"/>
              <a:cs typeface="+mn-cs"/>
            </a:defRPr>
          </a:pPr>
          <a:endParaRPr lang="en-US"/>
        </a:p>
      </c:txPr>
    </c:title>
    <c:autoTitleDeleted val="0"/>
    <c:pivotFmts>
      <c:pivotFmt>
        <c:idx val="0"/>
        <c:spPr>
          <a:solidFill>
            <a:schemeClr val="accent1"/>
          </a:solidFill>
          <a:ln w="3175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175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31750" cap="rnd">
            <a:solidFill>
              <a:srgbClr val="16324F"/>
            </a:solidFill>
            <a:round/>
          </a:ln>
          <a:effectLst/>
        </c:spPr>
        <c:marker>
          <c:symbol val="circle"/>
          <c:size val="5"/>
          <c:spPr>
            <a:solidFill>
              <a:srgbClr val="16324F"/>
            </a:solidFill>
            <a:ln w="9525">
              <a:solidFill>
                <a:srgbClr val="16324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rnd">
            <a:solidFill>
              <a:srgbClr val="3E6680"/>
            </a:solidFill>
            <a:round/>
          </a:ln>
          <a:effectLst/>
        </c:spPr>
        <c:marker>
          <c:symbol val="circle"/>
          <c:size val="5"/>
          <c:spPr>
            <a:solidFill>
              <a:srgbClr val="3E6680"/>
            </a:solidFill>
            <a:ln w="9525">
              <a:solidFill>
                <a:srgbClr val="3E668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2225" cap="rnd">
            <a:solidFill>
              <a:srgbClr val="F2A340"/>
            </a:solidFill>
            <a:round/>
          </a:ln>
          <a:effectLst/>
        </c:spPr>
        <c:marker>
          <c:symbol val="circle"/>
          <c:size val="5"/>
          <c:spPr>
            <a:solidFill>
              <a:srgbClr val="F2A340"/>
            </a:solidFill>
            <a:ln w="9525">
              <a:solidFill>
                <a:srgbClr val="F2A34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Average of cnt</c:v>
          </c:tx>
          <c:spPr>
            <a:ln w="31750" cap="rnd">
              <a:solidFill>
                <a:srgbClr val="16324F"/>
              </a:solidFill>
              <a:round/>
            </a:ln>
            <a:effectLst/>
          </c:spPr>
          <c:marker>
            <c:symbol val="circle"/>
            <c:size val="5"/>
            <c:spPr>
              <a:solidFill>
                <a:srgbClr val="16324F"/>
              </a:solidFill>
              <a:ln w="9525">
                <a:solidFill>
                  <a:srgbClr val="16324F"/>
                </a:solidFill>
              </a:ln>
              <a:effectLst/>
            </c:spPr>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16.348837209302324</c:v>
              </c:pt>
              <c:pt idx="1">
                <c:v>10.697674418604651</c:v>
              </c:pt>
              <c:pt idx="2">
                <c:v>7.1707317073170733</c:v>
              </c:pt>
              <c:pt idx="3">
                <c:v>4.870967741935484</c:v>
              </c:pt>
              <c:pt idx="4">
                <c:v>2.15625</c:v>
              </c:pt>
              <c:pt idx="5">
                <c:v>4.2051282051282053</c:v>
              </c:pt>
              <c:pt idx="6">
                <c:v>19.571428571428573</c:v>
              </c:pt>
              <c:pt idx="7">
                <c:v>54.395348837209305</c:v>
              </c:pt>
              <c:pt idx="8">
                <c:v>128.28571428571428</c:v>
              </c:pt>
              <c:pt idx="9">
                <c:v>87.428571428571431</c:v>
              </c:pt>
              <c:pt idx="10">
                <c:v>53.642857142857146</c:v>
              </c:pt>
              <c:pt idx="11">
                <c:v>59.38095238095238</c:v>
              </c:pt>
              <c:pt idx="12">
                <c:v>76.348837209302332</c:v>
              </c:pt>
              <c:pt idx="13">
                <c:v>78.511627906976742</c:v>
              </c:pt>
              <c:pt idx="14">
                <c:v>74.418604651162795</c:v>
              </c:pt>
              <c:pt idx="15">
                <c:v>77.95348837209302</c:v>
              </c:pt>
              <c:pt idx="16">
                <c:v>89.272727272727266</c:v>
              </c:pt>
              <c:pt idx="17">
                <c:v>140.20454545454547</c:v>
              </c:pt>
              <c:pt idx="18">
                <c:v>122.86046511627907</c:v>
              </c:pt>
              <c:pt idx="19">
                <c:v>85.139534883720927</c:v>
              </c:pt>
              <c:pt idx="20">
                <c:v>61.767441860465119</c:v>
              </c:pt>
              <c:pt idx="21">
                <c:v>46.418604651162788</c:v>
              </c:pt>
              <c:pt idx="22">
                <c:v>35.069767441860463</c:v>
              </c:pt>
              <c:pt idx="23">
                <c:v>25.186046511627907</c:v>
              </c:pt>
            </c:numLit>
          </c:val>
          <c:smooth val="1"/>
          <c:extLst>
            <c:ext xmlns:c16="http://schemas.microsoft.com/office/drawing/2014/chart" uri="{C3380CC4-5D6E-409C-BE32-E72D297353CC}">
              <c16:uniqueId val="{00000000-E39A-431B-A7B7-51F097AC9A32}"/>
            </c:ext>
          </c:extLst>
        </c:ser>
        <c:ser>
          <c:idx val="1"/>
          <c:order val="1"/>
          <c:tx>
            <c:v>Average of registered</c:v>
          </c:tx>
          <c:spPr>
            <a:ln w="22225" cap="rnd">
              <a:solidFill>
                <a:srgbClr val="3E6680"/>
              </a:solidFill>
              <a:round/>
            </a:ln>
            <a:effectLst/>
          </c:spPr>
          <c:marker>
            <c:symbol val="circle"/>
            <c:size val="5"/>
            <c:spPr>
              <a:solidFill>
                <a:srgbClr val="3E6680"/>
              </a:solidFill>
              <a:ln w="9525">
                <a:solidFill>
                  <a:srgbClr val="3E6680"/>
                </a:solidFill>
              </a:ln>
              <a:effectLst/>
            </c:spPr>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14.627906976744185</c:v>
              </c:pt>
              <c:pt idx="1">
                <c:v>9.5813953488372086</c:v>
              </c:pt>
              <c:pt idx="2">
                <c:v>6.3658536585365857</c:v>
              </c:pt>
              <c:pt idx="3">
                <c:v>3.774193548387097</c:v>
              </c:pt>
              <c:pt idx="4">
                <c:v>1.9375</c:v>
              </c:pt>
              <c:pt idx="5">
                <c:v>4.1282051282051286</c:v>
              </c:pt>
              <c:pt idx="6">
                <c:v>19.071428571428573</c:v>
              </c:pt>
              <c:pt idx="7">
                <c:v>52.906976744186046</c:v>
              </c:pt>
              <c:pt idx="8">
                <c:v>125.26190476190476</c:v>
              </c:pt>
              <c:pt idx="9">
                <c:v>83.333333333333329</c:v>
              </c:pt>
              <c:pt idx="10">
                <c:v>48.5</c:v>
              </c:pt>
              <c:pt idx="11">
                <c:v>50.642857142857146</c:v>
              </c:pt>
              <c:pt idx="12">
                <c:v>65.139534883720927</c:v>
              </c:pt>
              <c:pt idx="13">
                <c:v>66.581395348837205</c:v>
              </c:pt>
              <c:pt idx="14">
                <c:v>63.581395348837212</c:v>
              </c:pt>
              <c:pt idx="15">
                <c:v>65.488372093023258</c:v>
              </c:pt>
              <c:pt idx="16">
                <c:v>78.068181818181813</c:v>
              </c:pt>
              <c:pt idx="17">
                <c:v>131.22727272727272</c:v>
              </c:pt>
              <c:pt idx="18">
                <c:v>117.69767441860465</c:v>
              </c:pt>
              <c:pt idx="19">
                <c:v>80.79069767441861</c:v>
              </c:pt>
              <c:pt idx="20">
                <c:v>58.511627906976742</c:v>
              </c:pt>
              <c:pt idx="21">
                <c:v>43.697674418604649</c:v>
              </c:pt>
              <c:pt idx="22">
                <c:v>32.674418604651166</c:v>
              </c:pt>
              <c:pt idx="23">
                <c:v>22.837209302325583</c:v>
              </c:pt>
            </c:numLit>
          </c:val>
          <c:smooth val="0"/>
          <c:extLst>
            <c:ext xmlns:c16="http://schemas.microsoft.com/office/drawing/2014/chart" uri="{C3380CC4-5D6E-409C-BE32-E72D297353CC}">
              <c16:uniqueId val="{00000001-E39A-431B-A7B7-51F097AC9A32}"/>
            </c:ext>
          </c:extLst>
        </c:ser>
        <c:ser>
          <c:idx val="2"/>
          <c:order val="2"/>
          <c:tx>
            <c:v>Average of casual</c:v>
          </c:tx>
          <c:spPr>
            <a:ln w="22225" cap="rnd">
              <a:solidFill>
                <a:srgbClr val="F2A340"/>
              </a:solidFill>
              <a:round/>
            </a:ln>
            <a:effectLst/>
          </c:spPr>
          <c:marker>
            <c:symbol val="circle"/>
            <c:size val="5"/>
            <c:spPr>
              <a:solidFill>
                <a:srgbClr val="F2A340"/>
              </a:solidFill>
              <a:ln w="9525">
                <a:solidFill>
                  <a:srgbClr val="F2A340"/>
                </a:solidFill>
              </a:ln>
              <a:effectLst/>
            </c:spPr>
          </c:marker>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1.7209302325581395</c:v>
              </c:pt>
              <c:pt idx="1">
                <c:v>1.1162790697674418</c:v>
              </c:pt>
              <c:pt idx="2">
                <c:v>0.80487804878048785</c:v>
              </c:pt>
              <c:pt idx="3">
                <c:v>1.096774193548387</c:v>
              </c:pt>
              <c:pt idx="4">
                <c:v>0.21875</c:v>
              </c:pt>
              <c:pt idx="5">
                <c:v>7.6923076923076927E-2</c:v>
              </c:pt>
              <c:pt idx="6">
                <c:v>0.5</c:v>
              </c:pt>
              <c:pt idx="7">
                <c:v>1.4883720930232558</c:v>
              </c:pt>
              <c:pt idx="8">
                <c:v>3.0238095238095237</c:v>
              </c:pt>
              <c:pt idx="9">
                <c:v>4.0952380952380949</c:v>
              </c:pt>
              <c:pt idx="10">
                <c:v>5.1428571428571432</c:v>
              </c:pt>
              <c:pt idx="11">
                <c:v>8.7380952380952372</c:v>
              </c:pt>
              <c:pt idx="12">
                <c:v>11.209302325581396</c:v>
              </c:pt>
              <c:pt idx="13">
                <c:v>11.930232558139535</c:v>
              </c:pt>
              <c:pt idx="14">
                <c:v>10.837209302325581</c:v>
              </c:pt>
              <c:pt idx="15">
                <c:v>12.465116279069768</c:v>
              </c:pt>
              <c:pt idx="16">
                <c:v>11.204545454545455</c:v>
              </c:pt>
              <c:pt idx="17">
                <c:v>8.9772727272727266</c:v>
              </c:pt>
              <c:pt idx="18">
                <c:v>5.1627906976744189</c:v>
              </c:pt>
              <c:pt idx="19">
                <c:v>4.3488372093023253</c:v>
              </c:pt>
              <c:pt idx="20">
                <c:v>3.2558139534883721</c:v>
              </c:pt>
              <c:pt idx="21">
                <c:v>2.7209302325581395</c:v>
              </c:pt>
              <c:pt idx="22">
                <c:v>2.3953488372093021</c:v>
              </c:pt>
              <c:pt idx="23">
                <c:v>2.3488372093023258</c:v>
              </c:pt>
            </c:numLit>
          </c:val>
          <c:smooth val="0"/>
          <c:extLst>
            <c:ext xmlns:c16="http://schemas.microsoft.com/office/drawing/2014/chart" uri="{C3380CC4-5D6E-409C-BE32-E72D297353CC}">
              <c16:uniqueId val="{00000002-E39A-431B-A7B7-51F097AC9A32}"/>
            </c:ext>
          </c:extLst>
        </c:ser>
        <c:dLbls>
          <c:showLegendKey val="0"/>
          <c:showVal val="0"/>
          <c:showCatName val="0"/>
          <c:showSerName val="0"/>
          <c:showPercent val="0"/>
          <c:showBubbleSize val="0"/>
        </c:dLbls>
        <c:marker val="1"/>
        <c:smooth val="0"/>
        <c:axId val="405487232"/>
        <c:axId val="405475584"/>
      </c:lineChart>
      <c:catAx>
        <c:axId val="405487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475584"/>
        <c:crosses val="autoZero"/>
        <c:auto val="1"/>
        <c:lblAlgn val="ctr"/>
        <c:lblOffset val="100"/>
        <c:noMultiLvlLbl val="0"/>
      </c:catAx>
      <c:valAx>
        <c:axId val="40547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48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800" b="0" i="0" baseline="0">
                <a:effectLst/>
              </a:rPr>
              <a:t>Overall Average Rides by Weekday</a:t>
            </a:r>
            <a:endParaRPr lang="en-IN">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Sunday</c:v>
              </c:pt>
              <c:pt idx="1">
                <c:v>Monday</c:v>
              </c:pt>
              <c:pt idx="2">
                <c:v>Tuesday</c:v>
              </c:pt>
              <c:pt idx="3">
                <c:v>Wednesday</c:v>
              </c:pt>
              <c:pt idx="4">
                <c:v>Thursday</c:v>
              </c:pt>
              <c:pt idx="5">
                <c:v>Friday</c:v>
              </c:pt>
              <c:pt idx="6">
                <c:v>Saturday</c:v>
              </c:pt>
            </c:strLit>
          </c:cat>
          <c:val>
            <c:numLit>
              <c:formatCode>General</c:formatCode>
              <c:ptCount val="7"/>
              <c:pt idx="0">
                <c:v>46.674698795180724</c:v>
              </c:pt>
              <c:pt idx="1">
                <c:v>49.518292682926827</c:v>
              </c:pt>
              <c:pt idx="2">
                <c:v>56.711409395973156</c:v>
              </c:pt>
              <c:pt idx="3">
                <c:v>66.00787401574803</c:v>
              </c:pt>
              <c:pt idx="4">
                <c:v>61.44274809160305</c:v>
              </c:pt>
              <c:pt idx="5">
                <c:v>67.664000000000001</c:v>
              </c:pt>
              <c:pt idx="6">
                <c:v>65.905797101449281</c:v>
              </c:pt>
            </c:numLit>
          </c:val>
          <c:extLst>
            <c:ext xmlns:c16="http://schemas.microsoft.com/office/drawing/2014/chart" uri="{C3380CC4-5D6E-409C-BE32-E72D297353CC}">
              <c16:uniqueId val="{00000000-DE6C-4A9F-8964-B98994BF8040}"/>
            </c:ext>
          </c:extLst>
        </c:ser>
        <c:dLbls>
          <c:dLblPos val="outEnd"/>
          <c:showLegendKey val="0"/>
          <c:showVal val="1"/>
          <c:showCatName val="0"/>
          <c:showSerName val="0"/>
          <c:showPercent val="0"/>
          <c:showBubbleSize val="0"/>
        </c:dLbls>
        <c:gapWidth val="219"/>
        <c:overlap val="-27"/>
        <c:axId val="1249033423"/>
        <c:axId val="1249033007"/>
      </c:barChart>
      <c:catAx>
        <c:axId val="124903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033007"/>
        <c:crosses val="autoZero"/>
        <c:auto val="1"/>
        <c:lblAlgn val="ctr"/>
        <c:lblOffset val="100"/>
        <c:noMultiLvlLbl val="0"/>
      </c:catAx>
      <c:valAx>
        <c:axId val="1249033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03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Actual vs Forecasted Daily Rides (Recent Window)</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Sum of Cnt</c:v>
          </c:tx>
          <c:spPr>
            <a:ln w="28575" cap="rnd">
              <a:solidFill>
                <a:schemeClr val="accent2"/>
              </a:solidFill>
              <a:round/>
            </a:ln>
            <a:effectLst/>
          </c:spPr>
          <c:marker>
            <c:symbol val="none"/>
          </c:marker>
          <c:cat>
            <c:strLit>
              <c:ptCount val="52"/>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strLit>
          </c:cat>
          <c:val>
            <c:numLit>
              <c:formatCode>General</c:formatCode>
              <c:ptCount val="52"/>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pt idx="45">
                <c:v>0</c:v>
              </c:pt>
              <c:pt idx="46">
                <c:v>0</c:v>
              </c:pt>
              <c:pt idx="47">
                <c:v>0</c:v>
              </c:pt>
              <c:pt idx="48">
                <c:v>0</c:v>
              </c:pt>
              <c:pt idx="49">
                <c:v>0</c:v>
              </c:pt>
              <c:pt idx="50">
                <c:v>0</c:v>
              </c:pt>
              <c:pt idx="51">
                <c:v>0</c:v>
              </c:pt>
            </c:numLit>
          </c:val>
          <c:smooth val="0"/>
          <c:extLst>
            <c:ext xmlns:c16="http://schemas.microsoft.com/office/drawing/2014/chart" uri="{C3380CC4-5D6E-409C-BE32-E72D297353CC}">
              <c16:uniqueId val="{00000000-B769-46AF-ADB1-87366D77F000}"/>
            </c:ext>
          </c:extLst>
        </c:ser>
        <c:ser>
          <c:idx val="1"/>
          <c:order val="1"/>
          <c:tx>
            <c:v>Sum of Forecast(Cnt)</c:v>
          </c:tx>
          <c:spPr>
            <a:ln w="28575" cap="rnd">
              <a:solidFill>
                <a:schemeClr val="accent4"/>
              </a:solidFill>
              <a:round/>
            </a:ln>
            <a:effectLst/>
          </c:spPr>
          <c:marker>
            <c:symbol val="none"/>
          </c:marker>
          <c:cat>
            <c:strLit>
              <c:ptCount val="52"/>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strLit>
          </c:cat>
          <c:val>
            <c:numLit>
              <c:formatCode>General</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151</c:v>
              </c:pt>
              <c:pt idx="45">
                <c:v>1387.2167441635288</c:v>
              </c:pt>
              <c:pt idx="46">
                <c:v>1392.5597746183603</c:v>
              </c:pt>
              <c:pt idx="47">
                <c:v>1397.902805073192</c:v>
              </c:pt>
              <c:pt idx="48">
                <c:v>1403.2458355280237</c:v>
              </c:pt>
              <c:pt idx="49">
                <c:v>1408.5888659828554</c:v>
              </c:pt>
              <c:pt idx="50">
                <c:v>1413.9318964376871</c:v>
              </c:pt>
              <c:pt idx="51">
                <c:v>1419.2749268925186</c:v>
              </c:pt>
            </c:numLit>
          </c:val>
          <c:smooth val="0"/>
          <c:extLst>
            <c:ext xmlns:c16="http://schemas.microsoft.com/office/drawing/2014/chart" uri="{C3380CC4-5D6E-409C-BE32-E72D297353CC}">
              <c16:uniqueId val="{00000001-B769-46AF-ADB1-87366D77F000}"/>
            </c:ext>
          </c:extLst>
        </c:ser>
        <c:dLbls>
          <c:showLegendKey val="0"/>
          <c:showVal val="0"/>
          <c:showCatName val="0"/>
          <c:showSerName val="0"/>
          <c:showPercent val="0"/>
          <c:showBubbleSize val="0"/>
        </c:dLbls>
        <c:smooth val="0"/>
        <c:axId val="1688772783"/>
        <c:axId val="1688773615"/>
      </c:lineChart>
      <c:catAx>
        <c:axId val="168877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773615"/>
        <c:crosses val="autoZero"/>
        <c:auto val="1"/>
        <c:lblAlgn val="ctr"/>
        <c:lblOffset val="100"/>
        <c:noMultiLvlLbl val="0"/>
      </c:catAx>
      <c:valAx>
        <c:axId val="1688773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77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21</xdr:row>
      <xdr:rowOff>0</xdr:rowOff>
    </xdr:from>
    <xdr:to>
      <xdr:col>8</xdr:col>
      <xdr:colOff>0</xdr:colOff>
      <xdr:row>35</xdr:row>
      <xdr:rowOff>0</xdr:rowOff>
    </xdr:to>
    <xdr:graphicFrame macro="">
      <xdr:nvGraphicFramePr>
        <xdr:cNvPr id="2" name="Chart 1">
          <a:extLst>
            <a:ext uri="{FF2B5EF4-FFF2-40B4-BE49-F238E27FC236}">
              <a16:creationId xmlns:a16="http://schemas.microsoft.com/office/drawing/2014/main" id="{3B1A4C8F-7BE2-41E4-8E85-2B2E44F92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21</xdr:row>
      <xdr:rowOff>0</xdr:rowOff>
    </xdr:from>
    <xdr:to>
      <xdr:col>16</xdr:col>
      <xdr:colOff>0</xdr:colOff>
      <xdr:row>35</xdr:row>
      <xdr:rowOff>0</xdr:rowOff>
    </xdr:to>
    <xdr:graphicFrame macro="">
      <xdr:nvGraphicFramePr>
        <xdr:cNvPr id="3" name="Chart 2">
          <a:extLst>
            <a:ext uri="{FF2B5EF4-FFF2-40B4-BE49-F238E27FC236}">
              <a16:creationId xmlns:a16="http://schemas.microsoft.com/office/drawing/2014/main" id="{4932DC14-9649-4F51-AD30-038CF6C59F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8</xdr:col>
      <xdr:colOff>0</xdr:colOff>
      <xdr:row>49</xdr:row>
      <xdr:rowOff>0</xdr:rowOff>
    </xdr:to>
    <xdr:graphicFrame macro="">
      <xdr:nvGraphicFramePr>
        <xdr:cNvPr id="4" name="Chart 3">
          <a:extLst>
            <a:ext uri="{FF2B5EF4-FFF2-40B4-BE49-F238E27FC236}">
              <a16:creationId xmlns:a16="http://schemas.microsoft.com/office/drawing/2014/main" id="{05A75F09-DF8C-4C3D-9BF6-203DF8B3A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35</xdr:row>
      <xdr:rowOff>0</xdr:rowOff>
    </xdr:from>
    <xdr:to>
      <xdr:col>16</xdr:col>
      <xdr:colOff>0</xdr:colOff>
      <xdr:row>49</xdr:row>
      <xdr:rowOff>0</xdr:rowOff>
    </xdr:to>
    <xdr:graphicFrame macro="">
      <xdr:nvGraphicFramePr>
        <xdr:cNvPr id="5" name="Chart 4">
          <a:extLst>
            <a:ext uri="{FF2B5EF4-FFF2-40B4-BE49-F238E27FC236}">
              <a16:creationId xmlns:a16="http://schemas.microsoft.com/office/drawing/2014/main" id="{4A54DC9F-C8B0-49D6-9DC0-E602925FDE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8</xdr:row>
      <xdr:rowOff>0</xdr:rowOff>
    </xdr:from>
    <xdr:to>
      <xdr:col>16</xdr:col>
      <xdr:colOff>0</xdr:colOff>
      <xdr:row>14</xdr:row>
      <xdr:rowOff>57150</xdr:rowOff>
    </xdr:to>
    <mc:AlternateContent xmlns:mc="http://schemas.openxmlformats.org/markup-compatibility/2006">
      <mc:Choice xmlns:a14="http://schemas.microsoft.com/office/drawing/2010/main" Requires="a14">
        <xdr:graphicFrame macro="">
          <xdr:nvGraphicFramePr>
            <xdr:cNvPr id="6" name="Weather">
              <a:extLst>
                <a:ext uri="{FF2B5EF4-FFF2-40B4-BE49-F238E27FC236}">
                  <a16:creationId xmlns:a16="http://schemas.microsoft.com/office/drawing/2014/main" id="{76966E40-C1AF-4E5B-81A9-762273E0BD81}"/>
                </a:ext>
              </a:extLst>
            </xdr:cNvPr>
            <xdr:cNvGraphicFramePr/>
          </xdr:nvGraphicFramePr>
          <xdr:xfrm>
            <a:off x="0" y="0"/>
            <a:ext cx="0" cy="0"/>
          </xdr:xfrm>
          <a:graphic>
            <a:graphicData uri="http://schemas.microsoft.com/office/drawing/2010/slicer">
              <sle:slicer xmlns:sle="http://schemas.microsoft.com/office/drawing/2010/slicer" name="Weather"/>
            </a:graphicData>
          </a:graphic>
        </xdr:graphicFrame>
      </mc:Choice>
      <mc:Fallback>
        <xdr:sp macro="" textlink="">
          <xdr:nvSpPr>
            <xdr:cNvPr id="0" name=""/>
            <xdr:cNvSpPr>
              <a:spLocks noTextEdit="1"/>
            </xdr:cNvSpPr>
          </xdr:nvSpPr>
          <xdr:spPr>
            <a:xfrm>
              <a:off x="15420975" y="2162175"/>
              <a:ext cx="182880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8</xdr:row>
      <xdr:rowOff>0</xdr:rowOff>
    </xdr:from>
    <xdr:to>
      <xdr:col>13</xdr:col>
      <xdr:colOff>0</xdr:colOff>
      <xdr:row>14</xdr:row>
      <xdr:rowOff>57150</xdr:rowOff>
    </xdr:to>
    <mc:AlternateContent xmlns:mc="http://schemas.openxmlformats.org/markup-compatibility/2006">
      <mc:Choice xmlns:a14="http://schemas.microsoft.com/office/drawing/2010/main" Requires="a14">
        <xdr:graphicFrame macro="">
          <xdr:nvGraphicFramePr>
            <xdr:cNvPr id="7" name="Weekday_By Name 1">
              <a:extLst>
                <a:ext uri="{FF2B5EF4-FFF2-40B4-BE49-F238E27FC236}">
                  <a16:creationId xmlns:a16="http://schemas.microsoft.com/office/drawing/2014/main" id="{9504B23F-9054-4FDC-90C9-D8450D6B2DA7}"/>
                </a:ext>
              </a:extLst>
            </xdr:cNvPr>
            <xdr:cNvGraphicFramePr/>
          </xdr:nvGraphicFramePr>
          <xdr:xfrm>
            <a:off x="0" y="0"/>
            <a:ext cx="0" cy="0"/>
          </xdr:xfrm>
          <a:graphic>
            <a:graphicData uri="http://schemas.microsoft.com/office/drawing/2010/slicer">
              <sle:slicer xmlns:sle="http://schemas.microsoft.com/office/drawing/2010/slicer" name="Weekday_By Name 1"/>
            </a:graphicData>
          </a:graphic>
        </xdr:graphicFrame>
      </mc:Choice>
      <mc:Fallback>
        <xdr:sp macro="" textlink="">
          <xdr:nvSpPr>
            <xdr:cNvPr id="0" name=""/>
            <xdr:cNvSpPr>
              <a:spLocks noTextEdit="1"/>
            </xdr:cNvSpPr>
          </xdr:nvSpPr>
          <xdr:spPr>
            <a:xfrm>
              <a:off x="12049125" y="2162175"/>
              <a:ext cx="337185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8</xdr:row>
      <xdr:rowOff>0</xdr:rowOff>
    </xdr:from>
    <xdr:to>
      <xdr:col>9</xdr:col>
      <xdr:colOff>0</xdr:colOff>
      <xdr:row>14</xdr:row>
      <xdr:rowOff>57150</xdr:rowOff>
    </xdr:to>
    <mc:AlternateContent xmlns:mc="http://schemas.openxmlformats.org/markup-compatibility/2006">
      <mc:Choice xmlns:a14="http://schemas.microsoft.com/office/drawing/2010/main" Requires="a14">
        <xdr:graphicFrame macro="">
          <xdr:nvGraphicFramePr>
            <xdr:cNvPr id="8" name="Demand Category">
              <a:extLst>
                <a:ext uri="{FF2B5EF4-FFF2-40B4-BE49-F238E27FC236}">
                  <a16:creationId xmlns:a16="http://schemas.microsoft.com/office/drawing/2014/main" id="{C736F287-25DF-4C6A-93DA-04DD9DC1B09B}"/>
                </a:ext>
              </a:extLst>
            </xdr:cNvPr>
            <xdr:cNvGraphicFramePr/>
          </xdr:nvGraphicFramePr>
          <xdr:xfrm>
            <a:off x="0" y="0"/>
            <a:ext cx="0" cy="0"/>
          </xdr:xfrm>
          <a:graphic>
            <a:graphicData uri="http://schemas.microsoft.com/office/drawing/2010/slicer">
              <sle:slicer xmlns:sle="http://schemas.microsoft.com/office/drawing/2010/slicer" name="Demand Category"/>
            </a:graphicData>
          </a:graphic>
        </xdr:graphicFrame>
      </mc:Choice>
      <mc:Fallback>
        <xdr:sp macro="" textlink="">
          <xdr:nvSpPr>
            <xdr:cNvPr id="0" name=""/>
            <xdr:cNvSpPr>
              <a:spLocks noTextEdit="1"/>
            </xdr:cNvSpPr>
          </xdr:nvSpPr>
          <xdr:spPr>
            <a:xfrm>
              <a:off x="6315075" y="2162175"/>
              <a:ext cx="573405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361950</xdr:colOff>
      <xdr:row>8</xdr:row>
      <xdr:rowOff>0</xdr:rowOff>
    </xdr:from>
    <xdr:to>
      <xdr:col>6</xdr:col>
      <xdr:colOff>0</xdr:colOff>
      <xdr:row>14</xdr:row>
      <xdr:rowOff>57150</xdr:rowOff>
    </xdr:to>
    <mc:AlternateContent xmlns:mc="http://schemas.openxmlformats.org/markup-compatibility/2006">
      <mc:Choice xmlns:a14="http://schemas.microsoft.com/office/drawing/2010/main" Requires="a14">
        <xdr:graphicFrame macro="">
          <xdr:nvGraphicFramePr>
            <xdr:cNvPr id="9" name="Rash Hour">
              <a:extLst>
                <a:ext uri="{FF2B5EF4-FFF2-40B4-BE49-F238E27FC236}">
                  <a16:creationId xmlns:a16="http://schemas.microsoft.com/office/drawing/2014/main" id="{BA6015B9-D0A0-463A-8452-501CADF878FC}"/>
                </a:ext>
              </a:extLst>
            </xdr:cNvPr>
            <xdr:cNvGraphicFramePr/>
          </xdr:nvGraphicFramePr>
          <xdr:xfrm>
            <a:off x="0" y="0"/>
            <a:ext cx="0" cy="0"/>
          </xdr:xfrm>
          <a:graphic>
            <a:graphicData uri="http://schemas.microsoft.com/office/drawing/2010/slicer">
              <sle:slicer xmlns:sle="http://schemas.microsoft.com/office/drawing/2010/slicer" name="Rash Hour"/>
            </a:graphicData>
          </a:graphic>
        </xdr:graphicFrame>
      </mc:Choice>
      <mc:Fallback>
        <xdr:sp macro="" textlink="">
          <xdr:nvSpPr>
            <xdr:cNvPr id="0" name=""/>
            <xdr:cNvSpPr>
              <a:spLocks noTextEdit="1"/>
            </xdr:cNvSpPr>
          </xdr:nvSpPr>
          <xdr:spPr>
            <a:xfrm>
              <a:off x="2190750" y="2162175"/>
              <a:ext cx="4124325"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0</xdr:rowOff>
    </xdr:from>
    <xdr:to>
      <xdr:col>3</xdr:col>
      <xdr:colOff>352424</xdr:colOff>
      <xdr:row>14</xdr:row>
      <xdr:rowOff>57150</xdr:rowOff>
    </xdr:to>
    <mc:AlternateContent xmlns:mc="http://schemas.openxmlformats.org/markup-compatibility/2006">
      <mc:Choice xmlns:a14="http://schemas.microsoft.com/office/drawing/2010/main" Requires="a14">
        <xdr:graphicFrame macro="">
          <xdr:nvGraphicFramePr>
            <xdr:cNvPr id="10" name="Times of Day 1">
              <a:extLst>
                <a:ext uri="{FF2B5EF4-FFF2-40B4-BE49-F238E27FC236}">
                  <a16:creationId xmlns:a16="http://schemas.microsoft.com/office/drawing/2014/main" id="{451D5340-2833-42ED-9A10-17569922CC8D}"/>
                </a:ext>
              </a:extLst>
            </xdr:cNvPr>
            <xdr:cNvGraphicFramePr/>
          </xdr:nvGraphicFramePr>
          <xdr:xfrm>
            <a:off x="0" y="0"/>
            <a:ext cx="0" cy="0"/>
          </xdr:xfrm>
          <a:graphic>
            <a:graphicData uri="http://schemas.microsoft.com/office/drawing/2010/slicer">
              <sle:slicer xmlns:sle="http://schemas.microsoft.com/office/drawing/2010/slicer" name="Times of Day 1"/>
            </a:graphicData>
          </a:graphic>
        </xdr:graphicFrame>
      </mc:Choice>
      <mc:Fallback>
        <xdr:sp macro="" textlink="">
          <xdr:nvSpPr>
            <xdr:cNvPr id="0" name=""/>
            <xdr:cNvSpPr>
              <a:spLocks noTextEdit="1"/>
            </xdr:cNvSpPr>
          </xdr:nvSpPr>
          <xdr:spPr>
            <a:xfrm>
              <a:off x="0" y="2162175"/>
              <a:ext cx="2181224"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49</xdr:row>
      <xdr:rowOff>0</xdr:rowOff>
    </xdr:from>
    <xdr:to>
      <xdr:col>8</xdr:col>
      <xdr:colOff>0</xdr:colOff>
      <xdr:row>63</xdr:row>
      <xdr:rowOff>76200</xdr:rowOff>
    </xdr:to>
    <xdr:graphicFrame macro="">
      <xdr:nvGraphicFramePr>
        <xdr:cNvPr id="11" name="Chart 10">
          <a:extLst>
            <a:ext uri="{FF2B5EF4-FFF2-40B4-BE49-F238E27FC236}">
              <a16:creationId xmlns:a16="http://schemas.microsoft.com/office/drawing/2014/main" id="{A644C0A9-C28B-42B2-9F36-666EA1CCA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49</xdr:row>
      <xdr:rowOff>0</xdr:rowOff>
    </xdr:from>
    <xdr:to>
      <xdr:col>15</xdr:col>
      <xdr:colOff>666750</xdr:colOff>
      <xdr:row>63</xdr:row>
      <xdr:rowOff>76200</xdr:rowOff>
    </xdr:to>
    <xdr:graphicFrame macro="">
      <xdr:nvGraphicFramePr>
        <xdr:cNvPr id="12" name="Chart 11">
          <a:extLst>
            <a:ext uri="{FF2B5EF4-FFF2-40B4-BE49-F238E27FC236}">
              <a16:creationId xmlns:a16="http://schemas.microsoft.com/office/drawing/2014/main" id="{42508113-3A57-4E0D-874A-70B18F215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TA%20SC%20Project/Project%201/ProjectFinal/Project%20Work%20Main-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l D Temparature Bin"/>
      <sheetName val="Fin D Actual VS Forecasted"/>
      <sheetName val="Final D Demand forcusting"/>
      <sheetName val="Final d Rides by hour "/>
      <sheetName val="Final D Rides by Weather"/>
      <sheetName val="FinalD RidesVsWeekday&amp;Demand"/>
      <sheetName val="FinalD Times of a day"/>
      <sheetName val="Final D Dashboard"/>
      <sheetName val="FiDAverage Rides by Hour of Day"/>
      <sheetName val="FinDOve Average Rides by Weekda"/>
      <sheetName val="FinDAvgRidesinHigh-Demand Hours"/>
      <sheetName val="finD Avg Rid by Weath Con"/>
      <sheetName val="FinD RiderVolBy WeatheStach"/>
      <sheetName val="FinD AVG Rides by temp Band"/>
      <sheetName val="FinD Total Rides by Time of Day"/>
      <sheetName val="FinD Corelation Coeff VS Rides"/>
      <sheetName val="FinD CorrelationTable"/>
      <sheetName val="FinD Rash Hour Vs Normal Hour"/>
      <sheetName val="Fin D Corelation"/>
      <sheetName val="Final Dataset"/>
      <sheetName val="D1How Many Hours weather occ"/>
      <sheetName val="D3 Demand By Hour"/>
      <sheetName val="D3Demand by Weather"/>
      <sheetName val="D 3Demand by weekday"/>
      <sheetName val="D3 Hr Vs Day Vs Avg Cnt"/>
      <sheetName val="DatasetA CNT Count VS Day time "/>
      <sheetName val="DatasetA Ridesby Hour"/>
      <sheetName val="DatasetA Rides by Weather"/>
      <sheetName val="DatasetA Rides by Weekday"/>
      <sheetName val="DatasetA Dashboard"/>
      <sheetName val="Dataset A"/>
      <sheetName val="Dataset3"/>
      <sheetName val="D2 HUM VS CNT"/>
      <sheetName val="D2ATEMP VS CNT"/>
      <sheetName val="Dataset2"/>
      <sheetName val="D1 Rash Hour Count"/>
      <sheetName val="D1 Temp Varies Across Day"/>
      <sheetName val="Datas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
          <cell r="F1" t="str">
            <v>hr</v>
          </cell>
          <cell r="G1" t="str">
            <v>holiday</v>
          </cell>
          <cell r="N1" t="str">
            <v>casual</v>
          </cell>
          <cell r="O1" t="str">
            <v>registered</v>
          </cell>
          <cell r="P1" t="str">
            <v>cnt</v>
          </cell>
        </row>
        <row r="2">
          <cell r="F2">
            <v>0</v>
          </cell>
          <cell r="G2" t="b">
            <v>0</v>
          </cell>
          <cell r="N2">
            <v>3</v>
          </cell>
          <cell r="O2">
            <v>13</v>
          </cell>
          <cell r="P2">
            <v>16</v>
          </cell>
        </row>
        <row r="3">
          <cell r="F3">
            <v>1</v>
          </cell>
          <cell r="G3" t="b">
            <v>0</v>
          </cell>
          <cell r="N3">
            <v>8</v>
          </cell>
          <cell r="O3">
            <v>32</v>
          </cell>
          <cell r="P3">
            <v>40</v>
          </cell>
        </row>
        <row r="4">
          <cell r="F4">
            <v>2</v>
          </cell>
          <cell r="G4" t="b">
            <v>0</v>
          </cell>
          <cell r="N4">
            <v>5</v>
          </cell>
          <cell r="O4">
            <v>27</v>
          </cell>
          <cell r="P4">
            <v>32</v>
          </cell>
        </row>
        <row r="5">
          <cell r="F5">
            <v>3</v>
          </cell>
          <cell r="G5" t="b">
            <v>0</v>
          </cell>
          <cell r="N5">
            <v>3</v>
          </cell>
          <cell r="O5">
            <v>10</v>
          </cell>
          <cell r="P5">
            <v>13</v>
          </cell>
        </row>
        <row r="6">
          <cell r="F6">
            <v>4</v>
          </cell>
          <cell r="G6" t="b">
            <v>0</v>
          </cell>
          <cell r="N6">
            <v>0</v>
          </cell>
          <cell r="O6">
            <v>1</v>
          </cell>
          <cell r="P6">
            <v>1</v>
          </cell>
        </row>
        <row r="7">
          <cell r="F7">
            <v>5</v>
          </cell>
          <cell r="G7" t="b">
            <v>0</v>
          </cell>
          <cell r="N7">
            <v>0</v>
          </cell>
          <cell r="O7">
            <v>1</v>
          </cell>
          <cell r="P7">
            <v>1</v>
          </cell>
        </row>
        <row r="8">
          <cell r="F8">
            <v>6</v>
          </cell>
          <cell r="G8" t="b">
            <v>0</v>
          </cell>
          <cell r="N8">
            <v>2</v>
          </cell>
          <cell r="O8">
            <v>0</v>
          </cell>
          <cell r="P8">
            <v>2</v>
          </cell>
        </row>
        <row r="9">
          <cell r="F9">
            <v>7</v>
          </cell>
          <cell r="G9" t="b">
            <v>0</v>
          </cell>
          <cell r="N9">
            <v>1</v>
          </cell>
          <cell r="O9">
            <v>2</v>
          </cell>
          <cell r="P9">
            <v>3</v>
          </cell>
        </row>
        <row r="10">
          <cell r="F10">
            <v>8</v>
          </cell>
          <cell r="G10" t="b">
            <v>0</v>
          </cell>
          <cell r="N10">
            <v>1</v>
          </cell>
          <cell r="O10">
            <v>7</v>
          </cell>
          <cell r="P10">
            <v>8</v>
          </cell>
        </row>
        <row r="11">
          <cell r="F11">
            <v>9</v>
          </cell>
          <cell r="G11" t="b">
            <v>0</v>
          </cell>
          <cell r="N11">
            <v>8</v>
          </cell>
          <cell r="O11">
            <v>6</v>
          </cell>
          <cell r="P11">
            <v>14</v>
          </cell>
        </row>
        <row r="12">
          <cell r="F12">
            <v>10</v>
          </cell>
          <cell r="G12" t="b">
            <v>0</v>
          </cell>
          <cell r="N12">
            <v>12</v>
          </cell>
          <cell r="O12">
            <v>24</v>
          </cell>
          <cell r="P12">
            <v>36</v>
          </cell>
        </row>
        <row r="13">
          <cell r="F13">
            <v>11</v>
          </cell>
          <cell r="G13" t="b">
            <v>0</v>
          </cell>
          <cell r="N13">
            <v>26</v>
          </cell>
          <cell r="O13">
            <v>30</v>
          </cell>
          <cell r="P13">
            <v>56</v>
          </cell>
        </row>
        <row r="14">
          <cell r="F14">
            <v>12</v>
          </cell>
          <cell r="G14" t="b">
            <v>0</v>
          </cell>
          <cell r="N14">
            <v>29</v>
          </cell>
          <cell r="O14">
            <v>55</v>
          </cell>
          <cell r="P14">
            <v>84</v>
          </cell>
        </row>
        <row r="15">
          <cell r="F15">
            <v>13</v>
          </cell>
          <cell r="G15" t="b">
            <v>0</v>
          </cell>
          <cell r="N15">
            <v>47</v>
          </cell>
          <cell r="O15">
            <v>47</v>
          </cell>
          <cell r="P15">
            <v>94</v>
          </cell>
        </row>
        <row r="16">
          <cell r="F16">
            <v>14</v>
          </cell>
          <cell r="G16" t="b">
            <v>0</v>
          </cell>
          <cell r="N16">
            <v>35</v>
          </cell>
          <cell r="O16">
            <v>71</v>
          </cell>
          <cell r="P16">
            <v>106</v>
          </cell>
        </row>
        <row r="17">
          <cell r="F17">
            <v>15</v>
          </cell>
          <cell r="G17" t="b">
            <v>0</v>
          </cell>
          <cell r="N17">
            <v>40</v>
          </cell>
          <cell r="O17">
            <v>70</v>
          </cell>
          <cell r="P17">
            <v>110</v>
          </cell>
        </row>
        <row r="18">
          <cell r="F18">
            <v>16</v>
          </cell>
          <cell r="G18" t="b">
            <v>0</v>
          </cell>
          <cell r="N18">
            <v>41</v>
          </cell>
          <cell r="O18">
            <v>52</v>
          </cell>
          <cell r="P18">
            <v>93</v>
          </cell>
        </row>
        <row r="19">
          <cell r="F19">
            <v>17</v>
          </cell>
          <cell r="G19" t="b">
            <v>0</v>
          </cell>
          <cell r="N19">
            <v>15</v>
          </cell>
          <cell r="O19">
            <v>52</v>
          </cell>
          <cell r="P19">
            <v>67</v>
          </cell>
        </row>
        <row r="20">
          <cell r="F20">
            <v>18</v>
          </cell>
          <cell r="G20" t="b">
            <v>0</v>
          </cell>
          <cell r="N20">
            <v>9</v>
          </cell>
          <cell r="O20">
            <v>26</v>
          </cell>
          <cell r="P20">
            <v>35</v>
          </cell>
        </row>
        <row r="21">
          <cell r="F21">
            <v>19</v>
          </cell>
          <cell r="G21" t="b">
            <v>0</v>
          </cell>
          <cell r="N21">
            <v>6</v>
          </cell>
          <cell r="O21">
            <v>31</v>
          </cell>
          <cell r="P21">
            <v>37</v>
          </cell>
        </row>
        <row r="22">
          <cell r="F22">
            <v>20</v>
          </cell>
          <cell r="G22" t="b">
            <v>0</v>
          </cell>
          <cell r="N22">
            <v>11</v>
          </cell>
          <cell r="O22">
            <v>25</v>
          </cell>
          <cell r="P22">
            <v>36</v>
          </cell>
        </row>
        <row r="23">
          <cell r="F23">
            <v>21</v>
          </cell>
          <cell r="G23" t="b">
            <v>0</v>
          </cell>
          <cell r="N23">
            <v>3</v>
          </cell>
          <cell r="O23">
            <v>31</v>
          </cell>
          <cell r="P23">
            <v>34</v>
          </cell>
        </row>
        <row r="24">
          <cell r="F24">
            <v>22</v>
          </cell>
          <cell r="G24" t="b">
            <v>0</v>
          </cell>
          <cell r="N24">
            <v>11</v>
          </cell>
          <cell r="O24">
            <v>17</v>
          </cell>
          <cell r="P24">
            <v>28</v>
          </cell>
        </row>
        <row r="25">
          <cell r="F25">
            <v>23</v>
          </cell>
          <cell r="G25" t="b">
            <v>0</v>
          </cell>
          <cell r="N25">
            <v>15</v>
          </cell>
          <cell r="O25">
            <v>24</v>
          </cell>
          <cell r="P25">
            <v>39</v>
          </cell>
        </row>
        <row r="26">
          <cell r="F26">
            <v>0</v>
          </cell>
          <cell r="G26" t="b">
            <v>0</v>
          </cell>
          <cell r="N26">
            <v>4</v>
          </cell>
          <cell r="O26">
            <v>13</v>
          </cell>
          <cell r="P26">
            <v>17</v>
          </cell>
        </row>
        <row r="27">
          <cell r="F27">
            <v>1</v>
          </cell>
          <cell r="G27" t="b">
            <v>0</v>
          </cell>
          <cell r="N27">
            <v>1</v>
          </cell>
          <cell r="O27">
            <v>16</v>
          </cell>
          <cell r="P27">
            <v>17</v>
          </cell>
        </row>
        <row r="28">
          <cell r="F28">
            <v>2</v>
          </cell>
          <cell r="G28" t="b">
            <v>0</v>
          </cell>
          <cell r="N28">
            <v>1</v>
          </cell>
          <cell r="O28">
            <v>8</v>
          </cell>
          <cell r="P28">
            <v>9</v>
          </cell>
        </row>
        <row r="29">
          <cell r="F29">
            <v>3</v>
          </cell>
          <cell r="G29" t="b">
            <v>0</v>
          </cell>
          <cell r="N29">
            <v>2</v>
          </cell>
          <cell r="O29">
            <v>4</v>
          </cell>
          <cell r="P29">
            <v>6</v>
          </cell>
        </row>
        <row r="30">
          <cell r="F30">
            <v>4</v>
          </cell>
          <cell r="G30" t="b">
            <v>0</v>
          </cell>
          <cell r="N30">
            <v>2</v>
          </cell>
          <cell r="O30">
            <v>1</v>
          </cell>
          <cell r="P30">
            <v>3</v>
          </cell>
        </row>
        <row r="31">
          <cell r="F31">
            <v>6</v>
          </cell>
          <cell r="G31" t="b">
            <v>0</v>
          </cell>
          <cell r="N31">
            <v>0</v>
          </cell>
          <cell r="O31">
            <v>2</v>
          </cell>
          <cell r="P31">
            <v>2</v>
          </cell>
        </row>
        <row r="32">
          <cell r="F32">
            <v>7</v>
          </cell>
          <cell r="G32" t="b">
            <v>0</v>
          </cell>
          <cell r="N32">
            <v>0</v>
          </cell>
          <cell r="O32">
            <v>1</v>
          </cell>
          <cell r="P32">
            <v>1</v>
          </cell>
        </row>
        <row r="33">
          <cell r="F33">
            <v>8</v>
          </cell>
          <cell r="G33" t="b">
            <v>0</v>
          </cell>
          <cell r="N33">
            <v>0</v>
          </cell>
          <cell r="O33">
            <v>8</v>
          </cell>
          <cell r="P33">
            <v>8</v>
          </cell>
        </row>
        <row r="34">
          <cell r="F34">
            <v>9</v>
          </cell>
          <cell r="G34" t="b">
            <v>0</v>
          </cell>
          <cell r="N34">
            <v>1</v>
          </cell>
          <cell r="O34">
            <v>19</v>
          </cell>
          <cell r="P34">
            <v>20</v>
          </cell>
        </row>
        <row r="35">
          <cell r="F35">
            <v>10</v>
          </cell>
          <cell r="G35" t="b">
            <v>0</v>
          </cell>
          <cell r="N35">
            <v>7</v>
          </cell>
          <cell r="O35">
            <v>46</v>
          </cell>
          <cell r="P35">
            <v>53</v>
          </cell>
        </row>
        <row r="36">
          <cell r="F36">
            <v>11</v>
          </cell>
          <cell r="G36" t="b">
            <v>0</v>
          </cell>
          <cell r="N36">
            <v>16</v>
          </cell>
          <cell r="O36">
            <v>54</v>
          </cell>
          <cell r="P36">
            <v>70</v>
          </cell>
        </row>
        <row r="37">
          <cell r="F37">
            <v>12</v>
          </cell>
          <cell r="G37" t="b">
            <v>0</v>
          </cell>
          <cell r="N37">
            <v>20</v>
          </cell>
          <cell r="O37">
            <v>73</v>
          </cell>
          <cell r="P37">
            <v>93</v>
          </cell>
        </row>
        <row r="38">
          <cell r="F38">
            <v>13</v>
          </cell>
          <cell r="G38" t="b">
            <v>0</v>
          </cell>
          <cell r="N38">
            <v>11</v>
          </cell>
          <cell r="O38">
            <v>64</v>
          </cell>
          <cell r="P38">
            <v>75</v>
          </cell>
        </row>
        <row r="39">
          <cell r="F39">
            <v>14</v>
          </cell>
          <cell r="G39" t="b">
            <v>0</v>
          </cell>
          <cell r="N39">
            <v>4</v>
          </cell>
          <cell r="O39">
            <v>55</v>
          </cell>
          <cell r="P39">
            <v>59</v>
          </cell>
        </row>
        <row r="40">
          <cell r="F40">
            <v>15</v>
          </cell>
          <cell r="G40" t="b">
            <v>0</v>
          </cell>
          <cell r="N40">
            <v>19</v>
          </cell>
          <cell r="O40">
            <v>55</v>
          </cell>
          <cell r="P40">
            <v>74</v>
          </cell>
        </row>
        <row r="41">
          <cell r="F41">
            <v>16</v>
          </cell>
          <cell r="G41" t="b">
            <v>0</v>
          </cell>
          <cell r="N41">
            <v>9</v>
          </cell>
          <cell r="O41">
            <v>67</v>
          </cell>
          <cell r="P41">
            <v>76</v>
          </cell>
        </row>
        <row r="42">
          <cell r="F42">
            <v>17</v>
          </cell>
          <cell r="G42" t="b">
            <v>0</v>
          </cell>
          <cell r="N42">
            <v>7</v>
          </cell>
          <cell r="O42">
            <v>58</v>
          </cell>
          <cell r="P42">
            <v>65</v>
          </cell>
        </row>
        <row r="43">
          <cell r="F43">
            <v>18</v>
          </cell>
          <cell r="G43" t="b">
            <v>0</v>
          </cell>
          <cell r="N43">
            <v>10</v>
          </cell>
          <cell r="O43">
            <v>43</v>
          </cell>
          <cell r="P43">
            <v>53</v>
          </cell>
        </row>
        <row r="44">
          <cell r="F44">
            <v>19</v>
          </cell>
          <cell r="G44" t="b">
            <v>0</v>
          </cell>
          <cell r="N44">
            <v>1</v>
          </cell>
          <cell r="O44">
            <v>29</v>
          </cell>
          <cell r="P44">
            <v>30</v>
          </cell>
        </row>
        <row r="45">
          <cell r="F45">
            <v>20</v>
          </cell>
          <cell r="G45" t="b">
            <v>0</v>
          </cell>
          <cell r="N45">
            <v>5</v>
          </cell>
          <cell r="O45">
            <v>17</v>
          </cell>
          <cell r="P45">
            <v>22</v>
          </cell>
        </row>
        <row r="46">
          <cell r="F46">
            <v>21</v>
          </cell>
          <cell r="G46" t="b">
            <v>0</v>
          </cell>
          <cell r="N46">
            <v>11</v>
          </cell>
          <cell r="O46">
            <v>20</v>
          </cell>
          <cell r="P46">
            <v>31</v>
          </cell>
        </row>
        <row r="47">
          <cell r="F47">
            <v>22</v>
          </cell>
          <cell r="G47" t="b">
            <v>0</v>
          </cell>
          <cell r="N47">
            <v>0</v>
          </cell>
          <cell r="O47">
            <v>9</v>
          </cell>
          <cell r="P47">
            <v>9</v>
          </cell>
        </row>
        <row r="48">
          <cell r="F48">
            <v>23</v>
          </cell>
          <cell r="G48" t="b">
            <v>0</v>
          </cell>
          <cell r="N48">
            <v>0</v>
          </cell>
          <cell r="O48">
            <v>8</v>
          </cell>
          <cell r="P48">
            <v>8</v>
          </cell>
        </row>
        <row r="49">
          <cell r="F49">
            <v>0</v>
          </cell>
          <cell r="G49" t="b">
            <v>0</v>
          </cell>
          <cell r="N49">
            <v>0</v>
          </cell>
          <cell r="O49">
            <v>5</v>
          </cell>
          <cell r="P49">
            <v>5</v>
          </cell>
        </row>
        <row r="50">
          <cell r="F50">
            <v>1</v>
          </cell>
          <cell r="G50" t="b">
            <v>0</v>
          </cell>
          <cell r="N50">
            <v>0</v>
          </cell>
          <cell r="O50">
            <v>2</v>
          </cell>
          <cell r="P50">
            <v>2</v>
          </cell>
        </row>
        <row r="51">
          <cell r="F51">
            <v>4</v>
          </cell>
          <cell r="G51" t="b">
            <v>0</v>
          </cell>
          <cell r="N51">
            <v>0</v>
          </cell>
          <cell r="O51">
            <v>1</v>
          </cell>
          <cell r="P51">
            <v>1</v>
          </cell>
        </row>
        <row r="52">
          <cell r="F52">
            <v>5</v>
          </cell>
          <cell r="G52" t="b">
            <v>0</v>
          </cell>
          <cell r="N52">
            <v>0</v>
          </cell>
          <cell r="O52">
            <v>3</v>
          </cell>
          <cell r="P52">
            <v>3</v>
          </cell>
        </row>
        <row r="53">
          <cell r="F53">
            <v>6</v>
          </cell>
          <cell r="G53" t="b">
            <v>0</v>
          </cell>
          <cell r="N53">
            <v>0</v>
          </cell>
          <cell r="O53">
            <v>30</v>
          </cell>
          <cell r="P53">
            <v>30</v>
          </cell>
        </row>
        <row r="54">
          <cell r="F54">
            <v>7</v>
          </cell>
          <cell r="G54" t="b">
            <v>0</v>
          </cell>
          <cell r="N54">
            <v>1</v>
          </cell>
          <cell r="O54">
            <v>63</v>
          </cell>
          <cell r="P54">
            <v>64</v>
          </cell>
        </row>
        <row r="55">
          <cell r="F55">
            <v>8</v>
          </cell>
          <cell r="G55" t="b">
            <v>0</v>
          </cell>
          <cell r="N55">
            <v>1</v>
          </cell>
          <cell r="O55">
            <v>153</v>
          </cell>
          <cell r="P55">
            <v>154</v>
          </cell>
        </row>
        <row r="56">
          <cell r="F56">
            <v>9</v>
          </cell>
          <cell r="G56" t="b">
            <v>0</v>
          </cell>
          <cell r="N56">
            <v>7</v>
          </cell>
          <cell r="O56">
            <v>81</v>
          </cell>
          <cell r="P56">
            <v>88</v>
          </cell>
        </row>
        <row r="57">
          <cell r="F57">
            <v>10</v>
          </cell>
          <cell r="G57" t="b">
            <v>0</v>
          </cell>
          <cell r="N57">
            <v>11</v>
          </cell>
          <cell r="O57">
            <v>33</v>
          </cell>
          <cell r="P57">
            <v>44</v>
          </cell>
        </row>
        <row r="58">
          <cell r="F58">
            <v>11</v>
          </cell>
          <cell r="G58" t="b">
            <v>0</v>
          </cell>
          <cell r="N58">
            <v>10</v>
          </cell>
          <cell r="O58">
            <v>41</v>
          </cell>
          <cell r="P58">
            <v>51</v>
          </cell>
        </row>
        <row r="59">
          <cell r="F59">
            <v>12</v>
          </cell>
          <cell r="G59" t="b">
            <v>0</v>
          </cell>
          <cell r="N59">
            <v>13</v>
          </cell>
          <cell r="O59">
            <v>48</v>
          </cell>
          <cell r="P59">
            <v>61</v>
          </cell>
        </row>
        <row r="60">
          <cell r="F60">
            <v>13</v>
          </cell>
          <cell r="G60" t="b">
            <v>0</v>
          </cell>
          <cell r="N60">
            <v>8</v>
          </cell>
          <cell r="O60">
            <v>53</v>
          </cell>
          <cell r="P60">
            <v>61</v>
          </cell>
        </row>
        <row r="61">
          <cell r="F61">
            <v>14</v>
          </cell>
          <cell r="G61" t="b">
            <v>0</v>
          </cell>
          <cell r="N61">
            <v>11</v>
          </cell>
          <cell r="O61">
            <v>66</v>
          </cell>
          <cell r="P61">
            <v>77</v>
          </cell>
        </row>
        <row r="62">
          <cell r="F62">
            <v>15</v>
          </cell>
          <cell r="G62" t="b">
            <v>0</v>
          </cell>
          <cell r="N62">
            <v>14</v>
          </cell>
          <cell r="O62">
            <v>58</v>
          </cell>
          <cell r="P62">
            <v>72</v>
          </cell>
        </row>
        <row r="63">
          <cell r="F63">
            <v>16</v>
          </cell>
          <cell r="G63" t="b">
            <v>0</v>
          </cell>
          <cell r="N63">
            <v>9</v>
          </cell>
          <cell r="O63">
            <v>67</v>
          </cell>
          <cell r="P63">
            <v>76</v>
          </cell>
        </row>
        <row r="64">
          <cell r="F64">
            <v>17</v>
          </cell>
          <cell r="G64" t="b">
            <v>0</v>
          </cell>
          <cell r="N64">
            <v>11</v>
          </cell>
          <cell r="O64">
            <v>146</v>
          </cell>
          <cell r="P64">
            <v>157</v>
          </cell>
        </row>
        <row r="65">
          <cell r="F65">
            <v>18</v>
          </cell>
          <cell r="G65" t="b">
            <v>0</v>
          </cell>
          <cell r="N65">
            <v>9</v>
          </cell>
          <cell r="O65">
            <v>148</v>
          </cell>
          <cell r="P65">
            <v>157</v>
          </cell>
        </row>
        <row r="66">
          <cell r="F66">
            <v>19</v>
          </cell>
          <cell r="G66" t="b">
            <v>0</v>
          </cell>
          <cell r="N66">
            <v>8</v>
          </cell>
          <cell r="O66">
            <v>102</v>
          </cell>
          <cell r="P66">
            <v>110</v>
          </cell>
        </row>
        <row r="67">
          <cell r="F67">
            <v>20</v>
          </cell>
          <cell r="G67" t="b">
            <v>0</v>
          </cell>
          <cell r="N67">
            <v>3</v>
          </cell>
          <cell r="O67">
            <v>49</v>
          </cell>
          <cell r="P67">
            <v>52</v>
          </cell>
        </row>
        <row r="68">
          <cell r="F68">
            <v>21</v>
          </cell>
          <cell r="G68" t="b">
            <v>0</v>
          </cell>
          <cell r="N68">
            <v>3</v>
          </cell>
          <cell r="O68">
            <v>49</v>
          </cell>
          <cell r="P68">
            <v>52</v>
          </cell>
        </row>
        <row r="69">
          <cell r="F69">
            <v>22</v>
          </cell>
          <cell r="G69" t="b">
            <v>0</v>
          </cell>
          <cell r="N69">
            <v>0</v>
          </cell>
          <cell r="O69">
            <v>20</v>
          </cell>
          <cell r="P69">
            <v>20</v>
          </cell>
        </row>
        <row r="70">
          <cell r="F70">
            <v>23</v>
          </cell>
          <cell r="G70" t="b">
            <v>0</v>
          </cell>
          <cell r="N70">
            <v>1</v>
          </cell>
          <cell r="O70">
            <v>11</v>
          </cell>
          <cell r="P70">
            <v>12</v>
          </cell>
        </row>
        <row r="71">
          <cell r="F71">
            <v>0</v>
          </cell>
          <cell r="G71" t="b">
            <v>0</v>
          </cell>
          <cell r="N71">
            <v>0</v>
          </cell>
          <cell r="O71">
            <v>5</v>
          </cell>
          <cell r="P71">
            <v>5</v>
          </cell>
        </row>
        <row r="72">
          <cell r="F72">
            <v>1</v>
          </cell>
          <cell r="G72" t="b">
            <v>0</v>
          </cell>
          <cell r="N72">
            <v>0</v>
          </cell>
          <cell r="O72">
            <v>2</v>
          </cell>
          <cell r="P72">
            <v>2</v>
          </cell>
        </row>
        <row r="73">
          <cell r="F73">
            <v>2</v>
          </cell>
          <cell r="G73" t="b">
            <v>0</v>
          </cell>
          <cell r="N73">
            <v>0</v>
          </cell>
          <cell r="O73">
            <v>1</v>
          </cell>
          <cell r="P73">
            <v>1</v>
          </cell>
        </row>
        <row r="74">
          <cell r="F74">
            <v>4</v>
          </cell>
          <cell r="G74" t="b">
            <v>0</v>
          </cell>
          <cell r="N74">
            <v>0</v>
          </cell>
          <cell r="O74">
            <v>2</v>
          </cell>
          <cell r="P74">
            <v>2</v>
          </cell>
        </row>
        <row r="75">
          <cell r="F75">
            <v>5</v>
          </cell>
          <cell r="G75" t="b">
            <v>0</v>
          </cell>
          <cell r="N75">
            <v>0</v>
          </cell>
          <cell r="O75">
            <v>4</v>
          </cell>
          <cell r="P75">
            <v>4</v>
          </cell>
        </row>
        <row r="76">
          <cell r="F76">
            <v>6</v>
          </cell>
          <cell r="G76" t="b">
            <v>0</v>
          </cell>
          <cell r="N76">
            <v>0</v>
          </cell>
          <cell r="O76">
            <v>36</v>
          </cell>
          <cell r="P76">
            <v>36</v>
          </cell>
        </row>
        <row r="77">
          <cell r="F77">
            <v>7</v>
          </cell>
          <cell r="G77" t="b">
            <v>0</v>
          </cell>
          <cell r="N77">
            <v>2</v>
          </cell>
          <cell r="O77">
            <v>92</v>
          </cell>
          <cell r="P77">
            <v>94</v>
          </cell>
        </row>
        <row r="78">
          <cell r="F78">
            <v>8</v>
          </cell>
          <cell r="G78" t="b">
            <v>0</v>
          </cell>
          <cell r="N78">
            <v>2</v>
          </cell>
          <cell r="O78">
            <v>177</v>
          </cell>
          <cell r="P78">
            <v>179</v>
          </cell>
        </row>
        <row r="79">
          <cell r="F79">
            <v>9</v>
          </cell>
          <cell r="G79" t="b">
            <v>0</v>
          </cell>
          <cell r="N79">
            <v>2</v>
          </cell>
          <cell r="O79">
            <v>98</v>
          </cell>
          <cell r="P79">
            <v>100</v>
          </cell>
        </row>
        <row r="80">
          <cell r="F80">
            <v>10</v>
          </cell>
          <cell r="G80" t="b">
            <v>0</v>
          </cell>
          <cell r="N80">
            <v>5</v>
          </cell>
          <cell r="O80">
            <v>37</v>
          </cell>
          <cell r="P80">
            <v>42</v>
          </cell>
        </row>
        <row r="81">
          <cell r="F81">
            <v>11</v>
          </cell>
          <cell r="G81" t="b">
            <v>0</v>
          </cell>
          <cell r="N81">
            <v>7</v>
          </cell>
          <cell r="O81">
            <v>50</v>
          </cell>
          <cell r="P81">
            <v>57</v>
          </cell>
        </row>
        <row r="82">
          <cell r="F82">
            <v>12</v>
          </cell>
          <cell r="G82" t="b">
            <v>0</v>
          </cell>
          <cell r="N82">
            <v>12</v>
          </cell>
          <cell r="O82">
            <v>66</v>
          </cell>
          <cell r="P82">
            <v>78</v>
          </cell>
        </row>
        <row r="83">
          <cell r="F83">
            <v>13</v>
          </cell>
          <cell r="G83" t="b">
            <v>0</v>
          </cell>
          <cell r="N83">
            <v>18</v>
          </cell>
          <cell r="O83">
            <v>79</v>
          </cell>
          <cell r="P83">
            <v>97</v>
          </cell>
        </row>
        <row r="84">
          <cell r="F84">
            <v>14</v>
          </cell>
          <cell r="G84" t="b">
            <v>0</v>
          </cell>
          <cell r="N84">
            <v>9</v>
          </cell>
          <cell r="O84">
            <v>54</v>
          </cell>
          <cell r="P84">
            <v>63</v>
          </cell>
        </row>
        <row r="85">
          <cell r="F85">
            <v>15</v>
          </cell>
          <cell r="G85" t="b">
            <v>0</v>
          </cell>
          <cell r="N85">
            <v>17</v>
          </cell>
          <cell r="O85">
            <v>48</v>
          </cell>
          <cell r="P85">
            <v>65</v>
          </cell>
        </row>
        <row r="86">
          <cell r="F86">
            <v>16</v>
          </cell>
          <cell r="G86" t="b">
            <v>0</v>
          </cell>
          <cell r="N86">
            <v>15</v>
          </cell>
          <cell r="O86">
            <v>68</v>
          </cell>
          <cell r="P86">
            <v>83</v>
          </cell>
        </row>
        <row r="87">
          <cell r="F87">
            <v>17</v>
          </cell>
          <cell r="G87" t="b">
            <v>0</v>
          </cell>
          <cell r="N87">
            <v>10</v>
          </cell>
          <cell r="O87">
            <v>202</v>
          </cell>
          <cell r="P87">
            <v>212</v>
          </cell>
        </row>
        <row r="88">
          <cell r="F88">
            <v>18</v>
          </cell>
          <cell r="G88" t="b">
            <v>0</v>
          </cell>
          <cell r="N88">
            <v>3</v>
          </cell>
          <cell r="O88">
            <v>179</v>
          </cell>
          <cell r="P88">
            <v>182</v>
          </cell>
        </row>
        <row r="89">
          <cell r="F89">
            <v>19</v>
          </cell>
          <cell r="G89" t="b">
            <v>0</v>
          </cell>
          <cell r="N89">
            <v>2</v>
          </cell>
          <cell r="O89">
            <v>110</v>
          </cell>
          <cell r="P89">
            <v>112</v>
          </cell>
        </row>
        <row r="90">
          <cell r="F90">
            <v>20</v>
          </cell>
          <cell r="G90" t="b">
            <v>0</v>
          </cell>
          <cell r="N90">
            <v>1</v>
          </cell>
          <cell r="O90">
            <v>53</v>
          </cell>
          <cell r="P90">
            <v>54</v>
          </cell>
        </row>
        <row r="91">
          <cell r="F91">
            <v>21</v>
          </cell>
          <cell r="G91" t="b">
            <v>0</v>
          </cell>
          <cell r="N91">
            <v>0</v>
          </cell>
          <cell r="O91">
            <v>48</v>
          </cell>
          <cell r="P91">
            <v>48</v>
          </cell>
        </row>
        <row r="92">
          <cell r="F92">
            <v>22</v>
          </cell>
          <cell r="G92" t="b">
            <v>0</v>
          </cell>
          <cell r="N92">
            <v>1</v>
          </cell>
          <cell r="O92">
            <v>34</v>
          </cell>
          <cell r="P92">
            <v>35</v>
          </cell>
        </row>
        <row r="93">
          <cell r="F93">
            <v>23</v>
          </cell>
          <cell r="G93" t="b">
            <v>0</v>
          </cell>
          <cell r="N93">
            <v>2</v>
          </cell>
          <cell r="O93">
            <v>9</v>
          </cell>
          <cell r="P93">
            <v>11</v>
          </cell>
        </row>
        <row r="94">
          <cell r="F94">
            <v>0</v>
          </cell>
          <cell r="G94" t="b">
            <v>0</v>
          </cell>
          <cell r="N94">
            <v>0</v>
          </cell>
          <cell r="O94">
            <v>6</v>
          </cell>
          <cell r="P94">
            <v>6</v>
          </cell>
        </row>
        <row r="95">
          <cell r="F95">
            <v>1</v>
          </cell>
          <cell r="G95" t="b">
            <v>0</v>
          </cell>
          <cell r="N95">
            <v>0</v>
          </cell>
          <cell r="O95">
            <v>6</v>
          </cell>
          <cell r="P95">
            <v>6</v>
          </cell>
        </row>
        <row r="96">
          <cell r="F96">
            <v>2</v>
          </cell>
          <cell r="G96" t="b">
            <v>0</v>
          </cell>
          <cell r="N96">
            <v>0</v>
          </cell>
          <cell r="O96">
            <v>2</v>
          </cell>
          <cell r="P96">
            <v>2</v>
          </cell>
        </row>
        <row r="97">
          <cell r="F97">
            <v>4</v>
          </cell>
          <cell r="G97" t="b">
            <v>0</v>
          </cell>
          <cell r="N97">
            <v>0</v>
          </cell>
          <cell r="O97">
            <v>2</v>
          </cell>
          <cell r="P97">
            <v>2</v>
          </cell>
        </row>
        <row r="98">
          <cell r="F98">
            <v>5</v>
          </cell>
          <cell r="G98" t="b">
            <v>0</v>
          </cell>
          <cell r="N98">
            <v>0</v>
          </cell>
          <cell r="O98">
            <v>3</v>
          </cell>
          <cell r="P98">
            <v>3</v>
          </cell>
        </row>
        <row r="99">
          <cell r="F99">
            <v>6</v>
          </cell>
          <cell r="G99" t="b">
            <v>0</v>
          </cell>
          <cell r="N99">
            <v>0</v>
          </cell>
          <cell r="O99">
            <v>33</v>
          </cell>
          <cell r="P99">
            <v>33</v>
          </cell>
        </row>
        <row r="100">
          <cell r="F100">
            <v>7</v>
          </cell>
          <cell r="G100" t="b">
            <v>0</v>
          </cell>
          <cell r="N100">
            <v>1</v>
          </cell>
          <cell r="O100">
            <v>87</v>
          </cell>
          <cell r="P100">
            <v>88</v>
          </cell>
        </row>
        <row r="101">
          <cell r="F101">
            <v>8</v>
          </cell>
          <cell r="G101" t="b">
            <v>0</v>
          </cell>
          <cell r="N101">
            <v>3</v>
          </cell>
          <cell r="O101">
            <v>192</v>
          </cell>
          <cell r="P101">
            <v>195</v>
          </cell>
        </row>
        <row r="102">
          <cell r="F102">
            <v>9</v>
          </cell>
          <cell r="G102" t="b">
            <v>0</v>
          </cell>
          <cell r="N102">
            <v>6</v>
          </cell>
          <cell r="O102">
            <v>109</v>
          </cell>
          <cell r="P102">
            <v>115</v>
          </cell>
        </row>
        <row r="103">
          <cell r="F103">
            <v>10</v>
          </cell>
          <cell r="G103" t="b">
            <v>0</v>
          </cell>
          <cell r="N103">
            <v>4</v>
          </cell>
          <cell r="O103">
            <v>53</v>
          </cell>
          <cell r="P103">
            <v>57</v>
          </cell>
        </row>
        <row r="104">
          <cell r="F104">
            <v>11</v>
          </cell>
          <cell r="G104" t="b">
            <v>0</v>
          </cell>
          <cell r="N104">
            <v>12</v>
          </cell>
          <cell r="O104">
            <v>34</v>
          </cell>
          <cell r="P104">
            <v>46</v>
          </cell>
        </row>
        <row r="105">
          <cell r="F105">
            <v>12</v>
          </cell>
          <cell r="G105" t="b">
            <v>0</v>
          </cell>
          <cell r="N105">
            <v>5</v>
          </cell>
          <cell r="O105">
            <v>74</v>
          </cell>
          <cell r="P105">
            <v>79</v>
          </cell>
        </row>
        <row r="106">
          <cell r="F106">
            <v>13</v>
          </cell>
          <cell r="G106" t="b">
            <v>0</v>
          </cell>
          <cell r="N106">
            <v>6</v>
          </cell>
          <cell r="O106">
            <v>65</v>
          </cell>
          <cell r="P106">
            <v>71</v>
          </cell>
        </row>
        <row r="107">
          <cell r="F107">
            <v>14</v>
          </cell>
          <cell r="G107" t="b">
            <v>0</v>
          </cell>
          <cell r="N107">
            <v>10</v>
          </cell>
          <cell r="O107">
            <v>52</v>
          </cell>
          <cell r="P107">
            <v>62</v>
          </cell>
        </row>
        <row r="108">
          <cell r="F108">
            <v>15</v>
          </cell>
          <cell r="G108" t="b">
            <v>0</v>
          </cell>
          <cell r="N108">
            <v>7</v>
          </cell>
          <cell r="O108">
            <v>55</v>
          </cell>
          <cell r="P108">
            <v>62</v>
          </cell>
        </row>
        <row r="109">
          <cell r="F109">
            <v>16</v>
          </cell>
          <cell r="G109" t="b">
            <v>0</v>
          </cell>
          <cell r="N109">
            <v>4</v>
          </cell>
          <cell r="O109">
            <v>85</v>
          </cell>
          <cell r="P109">
            <v>89</v>
          </cell>
        </row>
        <row r="110">
          <cell r="F110">
            <v>17</v>
          </cell>
          <cell r="G110" t="b">
            <v>0</v>
          </cell>
          <cell r="N110">
            <v>4</v>
          </cell>
          <cell r="O110">
            <v>186</v>
          </cell>
          <cell r="P110">
            <v>190</v>
          </cell>
        </row>
        <row r="111">
          <cell r="F111">
            <v>18</v>
          </cell>
          <cell r="G111" t="b">
            <v>0</v>
          </cell>
          <cell r="N111">
            <v>3</v>
          </cell>
          <cell r="O111">
            <v>166</v>
          </cell>
          <cell r="P111">
            <v>169</v>
          </cell>
        </row>
        <row r="112">
          <cell r="F112">
            <v>19</v>
          </cell>
          <cell r="G112" t="b">
            <v>0</v>
          </cell>
          <cell r="N112">
            <v>5</v>
          </cell>
          <cell r="O112">
            <v>127</v>
          </cell>
          <cell r="P112">
            <v>132</v>
          </cell>
        </row>
        <row r="113">
          <cell r="F113">
            <v>20</v>
          </cell>
          <cell r="G113" t="b">
            <v>0</v>
          </cell>
          <cell r="N113">
            <v>7</v>
          </cell>
          <cell r="O113">
            <v>82</v>
          </cell>
          <cell r="P113">
            <v>89</v>
          </cell>
        </row>
        <row r="114">
          <cell r="F114">
            <v>21</v>
          </cell>
          <cell r="G114" t="b">
            <v>0</v>
          </cell>
          <cell r="N114">
            <v>3</v>
          </cell>
          <cell r="O114">
            <v>40</v>
          </cell>
          <cell r="P114">
            <v>43</v>
          </cell>
        </row>
        <row r="115">
          <cell r="F115">
            <v>22</v>
          </cell>
          <cell r="G115" t="b">
            <v>0</v>
          </cell>
          <cell r="N115">
            <v>1</v>
          </cell>
          <cell r="O115">
            <v>41</v>
          </cell>
          <cell r="P115">
            <v>42</v>
          </cell>
        </row>
        <row r="116">
          <cell r="F116">
            <v>23</v>
          </cell>
          <cell r="G116" t="b">
            <v>0</v>
          </cell>
          <cell r="N116">
            <v>1</v>
          </cell>
          <cell r="O116">
            <v>18</v>
          </cell>
          <cell r="P116">
            <v>19</v>
          </cell>
        </row>
        <row r="117">
          <cell r="F117">
            <v>0</v>
          </cell>
          <cell r="G117" t="b">
            <v>0</v>
          </cell>
          <cell r="N117">
            <v>0</v>
          </cell>
          <cell r="O117">
            <v>11</v>
          </cell>
          <cell r="P117">
            <v>11</v>
          </cell>
        </row>
        <row r="118">
          <cell r="F118">
            <v>1</v>
          </cell>
          <cell r="G118" t="b">
            <v>0</v>
          </cell>
          <cell r="N118">
            <v>0</v>
          </cell>
          <cell r="O118">
            <v>4</v>
          </cell>
          <cell r="P118">
            <v>4</v>
          </cell>
        </row>
        <row r="119">
          <cell r="F119">
            <v>2</v>
          </cell>
          <cell r="G119" t="b">
            <v>0</v>
          </cell>
          <cell r="N119">
            <v>0</v>
          </cell>
          <cell r="O119">
            <v>2</v>
          </cell>
          <cell r="P119">
            <v>2</v>
          </cell>
        </row>
        <row r="120">
          <cell r="F120">
            <v>4</v>
          </cell>
          <cell r="G120" t="b">
            <v>0</v>
          </cell>
          <cell r="N120">
            <v>0</v>
          </cell>
          <cell r="O120">
            <v>1</v>
          </cell>
          <cell r="P120">
            <v>1</v>
          </cell>
        </row>
        <row r="121">
          <cell r="F121">
            <v>5</v>
          </cell>
          <cell r="G121" t="b">
            <v>0</v>
          </cell>
          <cell r="N121">
            <v>0</v>
          </cell>
          <cell r="O121">
            <v>4</v>
          </cell>
          <cell r="P121">
            <v>4</v>
          </cell>
        </row>
        <row r="122">
          <cell r="F122">
            <v>6</v>
          </cell>
          <cell r="G122" t="b">
            <v>0</v>
          </cell>
          <cell r="N122">
            <v>0</v>
          </cell>
          <cell r="O122">
            <v>36</v>
          </cell>
          <cell r="P122">
            <v>36</v>
          </cell>
        </row>
        <row r="123">
          <cell r="F123">
            <v>7</v>
          </cell>
          <cell r="G123" t="b">
            <v>0</v>
          </cell>
          <cell r="N123">
            <v>0</v>
          </cell>
          <cell r="O123">
            <v>95</v>
          </cell>
          <cell r="P123">
            <v>95</v>
          </cell>
        </row>
        <row r="124">
          <cell r="F124">
            <v>8</v>
          </cell>
          <cell r="G124" t="b">
            <v>0</v>
          </cell>
          <cell r="N124">
            <v>3</v>
          </cell>
          <cell r="O124">
            <v>216</v>
          </cell>
          <cell r="P124">
            <v>219</v>
          </cell>
        </row>
        <row r="125">
          <cell r="F125">
            <v>9</v>
          </cell>
          <cell r="G125" t="b">
            <v>0</v>
          </cell>
          <cell r="N125">
            <v>6</v>
          </cell>
          <cell r="O125">
            <v>116</v>
          </cell>
          <cell r="P125">
            <v>122</v>
          </cell>
        </row>
        <row r="126">
          <cell r="F126">
            <v>10</v>
          </cell>
          <cell r="G126" t="b">
            <v>0</v>
          </cell>
          <cell r="N126">
            <v>3</v>
          </cell>
          <cell r="O126">
            <v>42</v>
          </cell>
          <cell r="P126">
            <v>45</v>
          </cell>
        </row>
        <row r="127">
          <cell r="F127">
            <v>11</v>
          </cell>
          <cell r="G127" t="b">
            <v>0</v>
          </cell>
          <cell r="N127">
            <v>2</v>
          </cell>
          <cell r="O127">
            <v>57</v>
          </cell>
          <cell r="P127">
            <v>59</v>
          </cell>
        </row>
        <row r="128">
          <cell r="F128">
            <v>12</v>
          </cell>
          <cell r="G128" t="b">
            <v>0</v>
          </cell>
          <cell r="N128">
            <v>6</v>
          </cell>
          <cell r="O128">
            <v>78</v>
          </cell>
          <cell r="P128">
            <v>84</v>
          </cell>
        </row>
        <row r="129">
          <cell r="F129">
            <v>13</v>
          </cell>
          <cell r="G129" t="b">
            <v>0</v>
          </cell>
          <cell r="N129">
            <v>12</v>
          </cell>
          <cell r="O129">
            <v>55</v>
          </cell>
          <cell r="P129">
            <v>67</v>
          </cell>
        </row>
        <row r="130">
          <cell r="F130">
            <v>14</v>
          </cell>
          <cell r="G130" t="b">
            <v>0</v>
          </cell>
          <cell r="N130">
            <v>11</v>
          </cell>
          <cell r="O130">
            <v>59</v>
          </cell>
          <cell r="P130">
            <v>70</v>
          </cell>
        </row>
        <row r="131">
          <cell r="F131">
            <v>15</v>
          </cell>
          <cell r="G131" t="b">
            <v>0</v>
          </cell>
          <cell r="N131">
            <v>8</v>
          </cell>
          <cell r="O131">
            <v>54</v>
          </cell>
          <cell r="P131">
            <v>62</v>
          </cell>
        </row>
        <row r="132">
          <cell r="F132">
            <v>16</v>
          </cell>
          <cell r="G132" t="b">
            <v>0</v>
          </cell>
          <cell r="N132">
            <v>12</v>
          </cell>
          <cell r="O132">
            <v>74</v>
          </cell>
          <cell r="P132">
            <v>86</v>
          </cell>
        </row>
        <row r="133">
          <cell r="F133">
            <v>17</v>
          </cell>
          <cell r="G133" t="b">
            <v>0</v>
          </cell>
          <cell r="N133">
            <v>9</v>
          </cell>
          <cell r="O133">
            <v>163</v>
          </cell>
          <cell r="P133">
            <v>172</v>
          </cell>
        </row>
        <row r="134">
          <cell r="F134">
            <v>18</v>
          </cell>
          <cell r="G134" t="b">
            <v>0</v>
          </cell>
          <cell r="N134">
            <v>5</v>
          </cell>
          <cell r="O134">
            <v>158</v>
          </cell>
          <cell r="P134">
            <v>163</v>
          </cell>
        </row>
        <row r="135">
          <cell r="F135">
            <v>19</v>
          </cell>
          <cell r="G135" t="b">
            <v>0</v>
          </cell>
          <cell r="N135">
            <v>3</v>
          </cell>
          <cell r="O135">
            <v>109</v>
          </cell>
          <cell r="P135">
            <v>112</v>
          </cell>
        </row>
        <row r="136">
          <cell r="F136">
            <v>20</v>
          </cell>
          <cell r="G136" t="b">
            <v>0</v>
          </cell>
          <cell r="N136">
            <v>3</v>
          </cell>
          <cell r="O136">
            <v>66</v>
          </cell>
          <cell r="P136">
            <v>69</v>
          </cell>
        </row>
        <row r="137">
          <cell r="F137">
            <v>21</v>
          </cell>
          <cell r="G137" t="b">
            <v>0</v>
          </cell>
          <cell r="N137">
            <v>0</v>
          </cell>
          <cell r="O137">
            <v>48</v>
          </cell>
          <cell r="P137">
            <v>48</v>
          </cell>
        </row>
        <row r="138">
          <cell r="F138">
            <v>22</v>
          </cell>
          <cell r="G138" t="b">
            <v>0</v>
          </cell>
          <cell r="N138">
            <v>1</v>
          </cell>
          <cell r="O138">
            <v>51</v>
          </cell>
          <cell r="P138">
            <v>52</v>
          </cell>
        </row>
        <row r="139">
          <cell r="F139">
            <v>23</v>
          </cell>
          <cell r="G139" t="b">
            <v>0</v>
          </cell>
          <cell r="N139">
            <v>4</v>
          </cell>
          <cell r="O139">
            <v>19</v>
          </cell>
          <cell r="P139">
            <v>23</v>
          </cell>
        </row>
        <row r="140">
          <cell r="F140">
            <v>0</v>
          </cell>
          <cell r="G140" t="b">
            <v>0</v>
          </cell>
          <cell r="N140">
            <v>4</v>
          </cell>
          <cell r="O140">
            <v>13</v>
          </cell>
          <cell r="P140">
            <v>17</v>
          </cell>
        </row>
        <row r="141">
          <cell r="F141">
            <v>1</v>
          </cell>
          <cell r="G141" t="b">
            <v>0</v>
          </cell>
          <cell r="N141">
            <v>2</v>
          </cell>
          <cell r="O141">
            <v>5</v>
          </cell>
          <cell r="P141">
            <v>7</v>
          </cell>
        </row>
        <row r="142">
          <cell r="F142">
            <v>2</v>
          </cell>
          <cell r="G142" t="b">
            <v>0</v>
          </cell>
          <cell r="N142">
            <v>0</v>
          </cell>
          <cell r="O142">
            <v>1</v>
          </cell>
          <cell r="P142">
            <v>1</v>
          </cell>
        </row>
        <row r="143">
          <cell r="F143">
            <v>4</v>
          </cell>
          <cell r="G143" t="b">
            <v>0</v>
          </cell>
          <cell r="N143">
            <v>0</v>
          </cell>
          <cell r="O143">
            <v>1</v>
          </cell>
          <cell r="P143">
            <v>1</v>
          </cell>
        </row>
        <row r="144">
          <cell r="F144">
            <v>5</v>
          </cell>
          <cell r="G144" t="b">
            <v>0</v>
          </cell>
          <cell r="N144">
            <v>0</v>
          </cell>
          <cell r="O144">
            <v>5</v>
          </cell>
          <cell r="P144">
            <v>5</v>
          </cell>
        </row>
        <row r="145">
          <cell r="F145">
            <v>6</v>
          </cell>
          <cell r="G145" t="b">
            <v>0</v>
          </cell>
          <cell r="N145">
            <v>8</v>
          </cell>
          <cell r="O145">
            <v>26</v>
          </cell>
          <cell r="P145">
            <v>34</v>
          </cell>
        </row>
        <row r="146">
          <cell r="F146">
            <v>7</v>
          </cell>
          <cell r="G146" t="b">
            <v>0</v>
          </cell>
          <cell r="N146">
            <v>8</v>
          </cell>
          <cell r="O146">
            <v>76</v>
          </cell>
          <cell r="P146">
            <v>84</v>
          </cell>
        </row>
        <row r="147">
          <cell r="F147">
            <v>8</v>
          </cell>
          <cell r="G147" t="b">
            <v>0</v>
          </cell>
          <cell r="N147">
            <v>20</v>
          </cell>
          <cell r="O147">
            <v>190</v>
          </cell>
          <cell r="P147">
            <v>210</v>
          </cell>
        </row>
        <row r="148">
          <cell r="F148">
            <v>9</v>
          </cell>
          <cell r="G148" t="b">
            <v>0</v>
          </cell>
          <cell r="N148">
            <v>9</v>
          </cell>
          <cell r="O148">
            <v>125</v>
          </cell>
          <cell r="P148">
            <v>134</v>
          </cell>
        </row>
        <row r="149">
          <cell r="F149">
            <v>10</v>
          </cell>
          <cell r="G149" t="b">
            <v>0</v>
          </cell>
          <cell r="N149">
            <v>16</v>
          </cell>
          <cell r="O149">
            <v>47</v>
          </cell>
          <cell r="P149">
            <v>63</v>
          </cell>
        </row>
        <row r="150">
          <cell r="F150">
            <v>11</v>
          </cell>
          <cell r="G150" t="b">
            <v>0</v>
          </cell>
          <cell r="N150">
            <v>19</v>
          </cell>
          <cell r="O150">
            <v>48</v>
          </cell>
          <cell r="P150">
            <v>67</v>
          </cell>
        </row>
        <row r="151">
          <cell r="F151">
            <v>12</v>
          </cell>
          <cell r="G151" t="b">
            <v>0</v>
          </cell>
          <cell r="N151">
            <v>9</v>
          </cell>
          <cell r="O151">
            <v>50</v>
          </cell>
          <cell r="P151">
            <v>59</v>
          </cell>
        </row>
        <row r="152">
          <cell r="F152">
            <v>13</v>
          </cell>
          <cell r="G152" t="b">
            <v>0</v>
          </cell>
          <cell r="N152">
            <v>9</v>
          </cell>
          <cell r="O152">
            <v>64</v>
          </cell>
          <cell r="P152">
            <v>73</v>
          </cell>
        </row>
        <row r="153">
          <cell r="F153">
            <v>14</v>
          </cell>
          <cell r="G153" t="b">
            <v>0</v>
          </cell>
          <cell r="N153">
            <v>7</v>
          </cell>
          <cell r="O153">
            <v>43</v>
          </cell>
          <cell r="P153">
            <v>50</v>
          </cell>
        </row>
        <row r="154">
          <cell r="F154">
            <v>15</v>
          </cell>
          <cell r="G154" t="b">
            <v>0</v>
          </cell>
          <cell r="N154">
            <v>9</v>
          </cell>
          <cell r="O154">
            <v>63</v>
          </cell>
          <cell r="P154">
            <v>72</v>
          </cell>
        </row>
        <row r="155">
          <cell r="F155">
            <v>16</v>
          </cell>
          <cell r="G155" t="b">
            <v>0</v>
          </cell>
          <cell r="N155">
            <v>5</v>
          </cell>
          <cell r="O155">
            <v>82</v>
          </cell>
          <cell r="P155">
            <v>87</v>
          </cell>
        </row>
        <row r="156">
          <cell r="F156">
            <v>17</v>
          </cell>
          <cell r="G156" t="b">
            <v>0</v>
          </cell>
          <cell r="N156">
            <v>9</v>
          </cell>
          <cell r="O156">
            <v>178</v>
          </cell>
          <cell r="P156">
            <v>187</v>
          </cell>
        </row>
        <row r="157">
          <cell r="F157">
            <v>18</v>
          </cell>
          <cell r="G157" t="b">
            <v>0</v>
          </cell>
          <cell r="N157">
            <v>7</v>
          </cell>
          <cell r="O157">
            <v>116</v>
          </cell>
          <cell r="P157">
            <v>123</v>
          </cell>
        </row>
        <row r="158">
          <cell r="F158">
            <v>19</v>
          </cell>
          <cell r="G158" t="b">
            <v>0</v>
          </cell>
          <cell r="N158">
            <v>3</v>
          </cell>
          <cell r="O158">
            <v>92</v>
          </cell>
          <cell r="P158">
            <v>95</v>
          </cell>
        </row>
        <row r="159">
          <cell r="F159">
            <v>20</v>
          </cell>
          <cell r="G159" t="b">
            <v>0</v>
          </cell>
          <cell r="N159">
            <v>1</v>
          </cell>
          <cell r="O159">
            <v>50</v>
          </cell>
          <cell r="P159">
            <v>51</v>
          </cell>
        </row>
        <row r="160">
          <cell r="F160">
            <v>21</v>
          </cell>
          <cell r="G160" t="b">
            <v>0</v>
          </cell>
          <cell r="N160">
            <v>0</v>
          </cell>
          <cell r="O160">
            <v>39</v>
          </cell>
          <cell r="P160">
            <v>39</v>
          </cell>
        </row>
        <row r="161">
          <cell r="F161">
            <v>22</v>
          </cell>
          <cell r="G161" t="b">
            <v>0</v>
          </cell>
          <cell r="N161">
            <v>2</v>
          </cell>
          <cell r="O161">
            <v>34</v>
          </cell>
          <cell r="P161">
            <v>36</v>
          </cell>
        </row>
        <row r="162">
          <cell r="F162">
            <v>23</v>
          </cell>
          <cell r="G162" t="b">
            <v>0</v>
          </cell>
          <cell r="N162">
            <v>1</v>
          </cell>
          <cell r="O162">
            <v>14</v>
          </cell>
          <cell r="P162">
            <v>15</v>
          </cell>
        </row>
        <row r="163">
          <cell r="F163">
            <v>0</v>
          </cell>
          <cell r="G163" t="b">
            <v>0</v>
          </cell>
          <cell r="N163">
            <v>1</v>
          </cell>
          <cell r="O163">
            <v>24</v>
          </cell>
          <cell r="P163">
            <v>25</v>
          </cell>
        </row>
        <row r="164">
          <cell r="F164">
            <v>1</v>
          </cell>
          <cell r="G164" t="b">
            <v>0</v>
          </cell>
          <cell r="N164">
            <v>1</v>
          </cell>
          <cell r="O164">
            <v>15</v>
          </cell>
          <cell r="P164">
            <v>16</v>
          </cell>
        </row>
        <row r="165">
          <cell r="F165">
            <v>2</v>
          </cell>
          <cell r="G165" t="b">
            <v>0</v>
          </cell>
          <cell r="N165">
            <v>3</v>
          </cell>
          <cell r="O165">
            <v>13</v>
          </cell>
          <cell r="P165">
            <v>16</v>
          </cell>
        </row>
        <row r="166">
          <cell r="F166">
            <v>3</v>
          </cell>
          <cell r="G166" t="b">
            <v>0</v>
          </cell>
          <cell r="N166">
            <v>0</v>
          </cell>
          <cell r="O166">
            <v>7</v>
          </cell>
          <cell r="P166">
            <v>7</v>
          </cell>
        </row>
        <row r="167">
          <cell r="F167">
            <v>4</v>
          </cell>
          <cell r="G167" t="b">
            <v>0</v>
          </cell>
          <cell r="N167">
            <v>0</v>
          </cell>
          <cell r="O167">
            <v>1</v>
          </cell>
          <cell r="P167">
            <v>1</v>
          </cell>
        </row>
        <row r="168">
          <cell r="F168">
            <v>5</v>
          </cell>
          <cell r="G168" t="b">
            <v>0</v>
          </cell>
          <cell r="N168">
            <v>0</v>
          </cell>
          <cell r="O168">
            <v>5</v>
          </cell>
          <cell r="P168">
            <v>5</v>
          </cell>
        </row>
        <row r="169">
          <cell r="F169">
            <v>6</v>
          </cell>
          <cell r="G169" t="b">
            <v>0</v>
          </cell>
          <cell r="N169">
            <v>0</v>
          </cell>
          <cell r="O169">
            <v>2</v>
          </cell>
          <cell r="P169">
            <v>2</v>
          </cell>
        </row>
        <row r="170">
          <cell r="F170">
            <v>7</v>
          </cell>
          <cell r="G170" t="b">
            <v>0</v>
          </cell>
          <cell r="N170">
            <v>1</v>
          </cell>
          <cell r="O170">
            <v>8</v>
          </cell>
          <cell r="P170">
            <v>9</v>
          </cell>
        </row>
        <row r="171">
          <cell r="F171">
            <v>8</v>
          </cell>
          <cell r="G171" t="b">
            <v>0</v>
          </cell>
          <cell r="N171">
            <v>0</v>
          </cell>
          <cell r="O171">
            <v>15</v>
          </cell>
          <cell r="P171">
            <v>15</v>
          </cell>
        </row>
        <row r="172">
          <cell r="F172">
            <v>9</v>
          </cell>
          <cell r="G172" t="b">
            <v>0</v>
          </cell>
          <cell r="N172">
            <v>0</v>
          </cell>
          <cell r="O172">
            <v>20</v>
          </cell>
          <cell r="P172">
            <v>20</v>
          </cell>
        </row>
        <row r="173">
          <cell r="F173">
            <v>10</v>
          </cell>
          <cell r="G173" t="b">
            <v>0</v>
          </cell>
          <cell r="N173">
            <v>5</v>
          </cell>
          <cell r="O173">
            <v>56</v>
          </cell>
          <cell r="P173">
            <v>61</v>
          </cell>
        </row>
        <row r="174">
          <cell r="F174">
            <v>11</v>
          </cell>
          <cell r="G174" t="b">
            <v>0</v>
          </cell>
          <cell r="N174">
            <v>2</v>
          </cell>
          <cell r="O174">
            <v>60</v>
          </cell>
          <cell r="P174">
            <v>62</v>
          </cell>
        </row>
        <row r="175">
          <cell r="F175">
            <v>12</v>
          </cell>
          <cell r="G175" t="b">
            <v>0</v>
          </cell>
          <cell r="N175">
            <v>8</v>
          </cell>
          <cell r="O175">
            <v>90</v>
          </cell>
          <cell r="P175">
            <v>98</v>
          </cell>
        </row>
        <row r="176">
          <cell r="F176">
            <v>13</v>
          </cell>
          <cell r="G176" t="b">
            <v>0</v>
          </cell>
          <cell r="N176">
            <v>7</v>
          </cell>
          <cell r="O176">
            <v>95</v>
          </cell>
          <cell r="P176">
            <v>102</v>
          </cell>
        </row>
        <row r="177">
          <cell r="F177">
            <v>14</v>
          </cell>
          <cell r="G177" t="b">
            <v>0</v>
          </cell>
          <cell r="N177">
            <v>12</v>
          </cell>
          <cell r="O177">
            <v>83</v>
          </cell>
          <cell r="P177">
            <v>95</v>
          </cell>
        </row>
        <row r="178">
          <cell r="F178">
            <v>15</v>
          </cell>
          <cell r="G178" t="b">
            <v>0</v>
          </cell>
          <cell r="N178">
            <v>5</v>
          </cell>
          <cell r="O178">
            <v>69</v>
          </cell>
          <cell r="P178">
            <v>74</v>
          </cell>
        </row>
        <row r="179">
          <cell r="F179">
            <v>16</v>
          </cell>
          <cell r="G179" t="b">
            <v>0</v>
          </cell>
          <cell r="N179">
            <v>8</v>
          </cell>
          <cell r="O179">
            <v>68</v>
          </cell>
          <cell r="P179">
            <v>76</v>
          </cell>
        </row>
        <row r="180">
          <cell r="F180">
            <v>17</v>
          </cell>
          <cell r="G180" t="b">
            <v>0</v>
          </cell>
          <cell r="N180">
            <v>5</v>
          </cell>
          <cell r="O180">
            <v>64</v>
          </cell>
          <cell r="P180">
            <v>69</v>
          </cell>
        </row>
        <row r="181">
          <cell r="F181">
            <v>18</v>
          </cell>
          <cell r="G181" t="b">
            <v>0</v>
          </cell>
          <cell r="N181">
            <v>3</v>
          </cell>
          <cell r="O181">
            <v>52</v>
          </cell>
          <cell r="P181">
            <v>55</v>
          </cell>
        </row>
        <row r="182">
          <cell r="F182">
            <v>19</v>
          </cell>
          <cell r="G182" t="b">
            <v>0</v>
          </cell>
          <cell r="N182">
            <v>4</v>
          </cell>
          <cell r="O182">
            <v>26</v>
          </cell>
          <cell r="P182">
            <v>30</v>
          </cell>
        </row>
        <row r="183">
          <cell r="F183">
            <v>20</v>
          </cell>
          <cell r="G183" t="b">
            <v>0</v>
          </cell>
          <cell r="N183">
            <v>0</v>
          </cell>
          <cell r="O183">
            <v>28</v>
          </cell>
          <cell r="P183">
            <v>28</v>
          </cell>
        </row>
        <row r="184">
          <cell r="F184">
            <v>21</v>
          </cell>
          <cell r="G184" t="b">
            <v>0</v>
          </cell>
          <cell r="N184">
            <v>2</v>
          </cell>
          <cell r="O184">
            <v>35</v>
          </cell>
          <cell r="P184">
            <v>37</v>
          </cell>
        </row>
        <row r="185">
          <cell r="F185">
            <v>22</v>
          </cell>
          <cell r="G185" t="b">
            <v>0</v>
          </cell>
          <cell r="N185">
            <v>1</v>
          </cell>
          <cell r="O185">
            <v>33</v>
          </cell>
          <cell r="P185">
            <v>34</v>
          </cell>
        </row>
        <row r="186">
          <cell r="F186">
            <v>23</v>
          </cell>
          <cell r="G186" t="b">
            <v>0</v>
          </cell>
          <cell r="N186">
            <v>0</v>
          </cell>
          <cell r="O186">
            <v>22</v>
          </cell>
          <cell r="P186">
            <v>22</v>
          </cell>
        </row>
        <row r="187">
          <cell r="F187">
            <v>0</v>
          </cell>
          <cell r="G187" t="b">
            <v>0</v>
          </cell>
          <cell r="N187">
            <v>1</v>
          </cell>
          <cell r="O187">
            <v>24</v>
          </cell>
          <cell r="P187">
            <v>25</v>
          </cell>
        </row>
        <row r="188">
          <cell r="F188">
            <v>1</v>
          </cell>
          <cell r="G188" t="b">
            <v>0</v>
          </cell>
          <cell r="N188">
            <v>0</v>
          </cell>
          <cell r="O188">
            <v>12</v>
          </cell>
          <cell r="P188">
            <v>12</v>
          </cell>
        </row>
        <row r="189">
          <cell r="F189">
            <v>2</v>
          </cell>
          <cell r="G189" t="b">
            <v>0</v>
          </cell>
          <cell r="N189">
            <v>0</v>
          </cell>
          <cell r="O189">
            <v>11</v>
          </cell>
          <cell r="P189">
            <v>11</v>
          </cell>
        </row>
        <row r="190">
          <cell r="F190">
            <v>3</v>
          </cell>
          <cell r="G190" t="b">
            <v>0</v>
          </cell>
          <cell r="N190">
            <v>0</v>
          </cell>
          <cell r="O190">
            <v>4</v>
          </cell>
          <cell r="P190">
            <v>4</v>
          </cell>
        </row>
        <row r="191">
          <cell r="F191">
            <v>4</v>
          </cell>
          <cell r="G191" t="b">
            <v>0</v>
          </cell>
          <cell r="N191">
            <v>0</v>
          </cell>
          <cell r="O191">
            <v>1</v>
          </cell>
          <cell r="P191">
            <v>1</v>
          </cell>
        </row>
        <row r="192">
          <cell r="F192">
            <v>5</v>
          </cell>
          <cell r="G192" t="b">
            <v>0</v>
          </cell>
          <cell r="N192">
            <v>0</v>
          </cell>
          <cell r="O192">
            <v>1</v>
          </cell>
          <cell r="P192">
            <v>1</v>
          </cell>
        </row>
        <row r="193">
          <cell r="F193">
            <v>6</v>
          </cell>
          <cell r="G193" t="b">
            <v>0</v>
          </cell>
          <cell r="N193">
            <v>0</v>
          </cell>
          <cell r="O193">
            <v>1</v>
          </cell>
          <cell r="P193">
            <v>1</v>
          </cell>
        </row>
        <row r="194">
          <cell r="F194">
            <v>7</v>
          </cell>
          <cell r="G194" t="b">
            <v>0</v>
          </cell>
          <cell r="N194">
            <v>1</v>
          </cell>
          <cell r="O194">
            <v>5</v>
          </cell>
          <cell r="P194">
            <v>6</v>
          </cell>
        </row>
        <row r="195">
          <cell r="F195">
            <v>8</v>
          </cell>
          <cell r="G195" t="b">
            <v>0</v>
          </cell>
          <cell r="N195">
            <v>0</v>
          </cell>
          <cell r="O195">
            <v>10</v>
          </cell>
          <cell r="P195">
            <v>10</v>
          </cell>
        </row>
        <row r="196">
          <cell r="F196">
            <v>9</v>
          </cell>
          <cell r="G196" t="b">
            <v>0</v>
          </cell>
          <cell r="N196">
            <v>0</v>
          </cell>
          <cell r="O196">
            <v>19</v>
          </cell>
          <cell r="P196">
            <v>19</v>
          </cell>
        </row>
        <row r="197">
          <cell r="F197">
            <v>10</v>
          </cell>
          <cell r="G197" t="b">
            <v>0</v>
          </cell>
          <cell r="N197">
            <v>0</v>
          </cell>
          <cell r="O197">
            <v>49</v>
          </cell>
          <cell r="P197">
            <v>49</v>
          </cell>
        </row>
        <row r="198">
          <cell r="F198">
            <v>11</v>
          </cell>
          <cell r="G198" t="b">
            <v>0</v>
          </cell>
          <cell r="N198">
            <v>2</v>
          </cell>
          <cell r="O198">
            <v>47</v>
          </cell>
          <cell r="P198">
            <v>49</v>
          </cell>
        </row>
        <row r="199">
          <cell r="F199">
            <v>12</v>
          </cell>
          <cell r="G199" t="b">
            <v>0</v>
          </cell>
          <cell r="N199">
            <v>4</v>
          </cell>
          <cell r="O199">
            <v>79</v>
          </cell>
          <cell r="P199">
            <v>83</v>
          </cell>
        </row>
        <row r="200">
          <cell r="F200">
            <v>13</v>
          </cell>
          <cell r="G200" t="b">
            <v>0</v>
          </cell>
          <cell r="N200">
            <v>6</v>
          </cell>
          <cell r="O200">
            <v>69</v>
          </cell>
          <cell r="P200">
            <v>75</v>
          </cell>
        </row>
        <row r="201">
          <cell r="F201">
            <v>14</v>
          </cell>
          <cell r="G201" t="b">
            <v>0</v>
          </cell>
          <cell r="N201">
            <v>8</v>
          </cell>
          <cell r="O201">
            <v>64</v>
          </cell>
          <cell r="P201">
            <v>72</v>
          </cell>
        </row>
        <row r="202">
          <cell r="F202">
            <v>15</v>
          </cell>
          <cell r="G202" t="b">
            <v>0</v>
          </cell>
          <cell r="N202">
            <v>5</v>
          </cell>
          <cell r="O202">
            <v>77</v>
          </cell>
          <cell r="P202">
            <v>82</v>
          </cell>
        </row>
        <row r="203">
          <cell r="F203">
            <v>16</v>
          </cell>
          <cell r="G203" t="b">
            <v>0</v>
          </cell>
          <cell r="N203">
            <v>13</v>
          </cell>
          <cell r="O203">
            <v>79</v>
          </cell>
          <cell r="P203">
            <v>92</v>
          </cell>
        </row>
        <row r="204">
          <cell r="F204">
            <v>17</v>
          </cell>
          <cell r="G204" t="b">
            <v>0</v>
          </cell>
          <cell r="N204">
            <v>3</v>
          </cell>
          <cell r="O204">
            <v>59</v>
          </cell>
          <cell r="P204">
            <v>62</v>
          </cell>
        </row>
        <row r="205">
          <cell r="F205">
            <v>18</v>
          </cell>
          <cell r="G205" t="b">
            <v>0</v>
          </cell>
          <cell r="N205">
            <v>4</v>
          </cell>
          <cell r="O205">
            <v>44</v>
          </cell>
          <cell r="P205">
            <v>48</v>
          </cell>
        </row>
        <row r="206">
          <cell r="F206">
            <v>19</v>
          </cell>
          <cell r="G206" t="b">
            <v>0</v>
          </cell>
          <cell r="N206">
            <v>1</v>
          </cell>
          <cell r="O206">
            <v>40</v>
          </cell>
          <cell r="P206">
            <v>41</v>
          </cell>
        </row>
        <row r="207">
          <cell r="F207">
            <v>20</v>
          </cell>
          <cell r="G207" t="b">
            <v>0</v>
          </cell>
          <cell r="N207">
            <v>0</v>
          </cell>
          <cell r="O207">
            <v>38</v>
          </cell>
          <cell r="P207">
            <v>38</v>
          </cell>
        </row>
        <row r="208">
          <cell r="F208">
            <v>21</v>
          </cell>
          <cell r="G208" t="b">
            <v>0</v>
          </cell>
          <cell r="N208">
            <v>1</v>
          </cell>
          <cell r="O208">
            <v>19</v>
          </cell>
          <cell r="P208">
            <v>20</v>
          </cell>
        </row>
        <row r="209">
          <cell r="F209">
            <v>22</v>
          </cell>
          <cell r="G209" t="b">
            <v>0</v>
          </cell>
          <cell r="N209">
            <v>5</v>
          </cell>
          <cell r="O209">
            <v>10</v>
          </cell>
          <cell r="P209">
            <v>15</v>
          </cell>
        </row>
        <row r="210">
          <cell r="F210">
            <v>23</v>
          </cell>
          <cell r="G210" t="b">
            <v>0</v>
          </cell>
          <cell r="N210">
            <v>0</v>
          </cell>
          <cell r="O210">
            <v>6</v>
          </cell>
          <cell r="P210">
            <v>6</v>
          </cell>
        </row>
        <row r="211">
          <cell r="F211">
            <v>0</v>
          </cell>
          <cell r="G211" t="b">
            <v>0</v>
          </cell>
          <cell r="N211">
            <v>2</v>
          </cell>
          <cell r="O211">
            <v>3</v>
          </cell>
          <cell r="P211">
            <v>5</v>
          </cell>
        </row>
        <row r="212">
          <cell r="F212">
            <v>1</v>
          </cell>
          <cell r="G212" t="b">
            <v>0</v>
          </cell>
          <cell r="N212">
            <v>1</v>
          </cell>
          <cell r="O212">
            <v>0</v>
          </cell>
          <cell r="P212">
            <v>1</v>
          </cell>
        </row>
        <row r="213">
          <cell r="F213">
            <v>2</v>
          </cell>
          <cell r="G213" t="b">
            <v>0</v>
          </cell>
          <cell r="N213">
            <v>0</v>
          </cell>
          <cell r="O213">
            <v>3</v>
          </cell>
          <cell r="P213">
            <v>3</v>
          </cell>
        </row>
        <row r="214">
          <cell r="F214">
            <v>3</v>
          </cell>
          <cell r="G214" t="b">
            <v>0</v>
          </cell>
          <cell r="N214">
            <v>0</v>
          </cell>
          <cell r="O214">
            <v>1</v>
          </cell>
          <cell r="P214">
            <v>1</v>
          </cell>
        </row>
        <row r="215">
          <cell r="F215">
            <v>4</v>
          </cell>
          <cell r="G215" t="b">
            <v>0</v>
          </cell>
          <cell r="N215">
            <v>1</v>
          </cell>
          <cell r="O215">
            <v>2</v>
          </cell>
          <cell r="P215">
            <v>3</v>
          </cell>
        </row>
        <row r="216">
          <cell r="F216">
            <v>5</v>
          </cell>
          <cell r="G216" t="b">
            <v>0</v>
          </cell>
          <cell r="N216">
            <v>0</v>
          </cell>
          <cell r="O216">
            <v>3</v>
          </cell>
          <cell r="P216">
            <v>3</v>
          </cell>
        </row>
        <row r="217">
          <cell r="F217">
            <v>6</v>
          </cell>
          <cell r="G217" t="b">
            <v>0</v>
          </cell>
          <cell r="N217">
            <v>0</v>
          </cell>
          <cell r="O217">
            <v>31</v>
          </cell>
          <cell r="P217">
            <v>31</v>
          </cell>
        </row>
        <row r="218">
          <cell r="F218">
            <v>7</v>
          </cell>
          <cell r="G218" t="b">
            <v>0</v>
          </cell>
          <cell r="N218">
            <v>2</v>
          </cell>
          <cell r="O218">
            <v>75</v>
          </cell>
          <cell r="P218">
            <v>77</v>
          </cell>
        </row>
        <row r="219">
          <cell r="F219">
            <v>8</v>
          </cell>
          <cell r="G219" t="b">
            <v>0</v>
          </cell>
          <cell r="N219">
            <v>4</v>
          </cell>
          <cell r="O219">
            <v>184</v>
          </cell>
          <cell r="P219">
            <v>188</v>
          </cell>
        </row>
        <row r="220">
          <cell r="F220">
            <v>9</v>
          </cell>
          <cell r="G220" t="b">
            <v>0</v>
          </cell>
          <cell r="N220">
            <v>2</v>
          </cell>
          <cell r="O220">
            <v>92</v>
          </cell>
          <cell r="P220">
            <v>94</v>
          </cell>
        </row>
        <row r="221">
          <cell r="F221">
            <v>10</v>
          </cell>
          <cell r="G221" t="b">
            <v>0</v>
          </cell>
          <cell r="N221">
            <v>0</v>
          </cell>
          <cell r="O221">
            <v>31</v>
          </cell>
          <cell r="P221">
            <v>31</v>
          </cell>
        </row>
        <row r="222">
          <cell r="F222">
            <v>11</v>
          </cell>
          <cell r="G222" t="b">
            <v>0</v>
          </cell>
          <cell r="N222">
            <v>2</v>
          </cell>
          <cell r="O222">
            <v>28</v>
          </cell>
          <cell r="P222">
            <v>30</v>
          </cell>
        </row>
        <row r="223">
          <cell r="F223">
            <v>12</v>
          </cell>
          <cell r="G223" t="b">
            <v>0</v>
          </cell>
          <cell r="N223">
            <v>5</v>
          </cell>
          <cell r="O223">
            <v>47</v>
          </cell>
          <cell r="P223">
            <v>52</v>
          </cell>
        </row>
        <row r="224">
          <cell r="F224">
            <v>13</v>
          </cell>
          <cell r="G224" t="b">
            <v>0</v>
          </cell>
          <cell r="N224">
            <v>4</v>
          </cell>
          <cell r="O224">
            <v>50</v>
          </cell>
          <cell r="P224">
            <v>54</v>
          </cell>
        </row>
        <row r="225">
          <cell r="F225">
            <v>14</v>
          </cell>
          <cell r="G225" t="b">
            <v>0</v>
          </cell>
          <cell r="N225">
            <v>0</v>
          </cell>
          <cell r="O225">
            <v>47</v>
          </cell>
          <cell r="P225">
            <v>47</v>
          </cell>
        </row>
        <row r="226">
          <cell r="F226">
            <v>15</v>
          </cell>
          <cell r="G226" t="b">
            <v>0</v>
          </cell>
          <cell r="N226">
            <v>2</v>
          </cell>
          <cell r="O226">
            <v>43</v>
          </cell>
          <cell r="P226">
            <v>45</v>
          </cell>
        </row>
        <row r="227">
          <cell r="F227">
            <v>16</v>
          </cell>
          <cell r="G227" t="b">
            <v>0</v>
          </cell>
          <cell r="N227">
            <v>4</v>
          </cell>
          <cell r="O227">
            <v>70</v>
          </cell>
          <cell r="P227">
            <v>74</v>
          </cell>
        </row>
        <row r="228">
          <cell r="F228">
            <v>17</v>
          </cell>
          <cell r="G228" t="b">
            <v>0</v>
          </cell>
          <cell r="N228">
            <v>4</v>
          </cell>
          <cell r="O228">
            <v>174</v>
          </cell>
          <cell r="P228">
            <v>178</v>
          </cell>
        </row>
        <row r="229">
          <cell r="F229">
            <v>18</v>
          </cell>
          <cell r="G229" t="b">
            <v>0</v>
          </cell>
          <cell r="N229">
            <v>1</v>
          </cell>
          <cell r="O229">
            <v>154</v>
          </cell>
          <cell r="P229">
            <v>155</v>
          </cell>
        </row>
        <row r="230">
          <cell r="F230">
            <v>19</v>
          </cell>
          <cell r="G230" t="b">
            <v>0</v>
          </cell>
          <cell r="N230">
            <v>3</v>
          </cell>
          <cell r="O230">
            <v>92</v>
          </cell>
          <cell r="P230">
            <v>95</v>
          </cell>
        </row>
        <row r="231">
          <cell r="F231">
            <v>20</v>
          </cell>
          <cell r="G231" t="b">
            <v>0</v>
          </cell>
          <cell r="N231">
            <v>1</v>
          </cell>
          <cell r="O231">
            <v>73</v>
          </cell>
          <cell r="P231">
            <v>74</v>
          </cell>
        </row>
        <row r="232">
          <cell r="F232">
            <v>21</v>
          </cell>
          <cell r="G232" t="b">
            <v>0</v>
          </cell>
          <cell r="N232">
            <v>1</v>
          </cell>
          <cell r="O232">
            <v>37</v>
          </cell>
          <cell r="P232">
            <v>38</v>
          </cell>
        </row>
        <row r="233">
          <cell r="F233">
            <v>22</v>
          </cell>
          <cell r="G233" t="b">
            <v>0</v>
          </cell>
          <cell r="N233">
            <v>2</v>
          </cell>
          <cell r="O233">
            <v>22</v>
          </cell>
          <cell r="P233">
            <v>24</v>
          </cell>
        </row>
        <row r="234">
          <cell r="F234">
            <v>23</v>
          </cell>
          <cell r="G234" t="b">
            <v>0</v>
          </cell>
          <cell r="N234">
            <v>0</v>
          </cell>
          <cell r="O234">
            <v>18</v>
          </cell>
          <cell r="P234">
            <v>18</v>
          </cell>
        </row>
        <row r="235">
          <cell r="F235">
            <v>0</v>
          </cell>
          <cell r="G235" t="b">
            <v>0</v>
          </cell>
          <cell r="N235">
            <v>2</v>
          </cell>
          <cell r="O235">
            <v>10</v>
          </cell>
          <cell r="P235">
            <v>12</v>
          </cell>
        </row>
        <row r="236">
          <cell r="F236">
            <v>1</v>
          </cell>
          <cell r="G236" t="b">
            <v>0</v>
          </cell>
          <cell r="N236">
            <v>0</v>
          </cell>
          <cell r="O236">
            <v>3</v>
          </cell>
          <cell r="P236">
            <v>3</v>
          </cell>
        </row>
        <row r="237">
          <cell r="F237">
            <v>2</v>
          </cell>
          <cell r="G237" t="b">
            <v>0</v>
          </cell>
          <cell r="N237">
            <v>0</v>
          </cell>
          <cell r="O237">
            <v>3</v>
          </cell>
          <cell r="P237">
            <v>3</v>
          </cell>
        </row>
        <row r="238">
          <cell r="F238">
            <v>5</v>
          </cell>
          <cell r="G238" t="b">
            <v>0</v>
          </cell>
          <cell r="N238">
            <v>0</v>
          </cell>
          <cell r="O238">
            <v>6</v>
          </cell>
          <cell r="P238">
            <v>6</v>
          </cell>
        </row>
        <row r="239">
          <cell r="F239">
            <v>6</v>
          </cell>
          <cell r="G239" t="b">
            <v>0</v>
          </cell>
          <cell r="N239">
            <v>0</v>
          </cell>
          <cell r="O239">
            <v>27</v>
          </cell>
          <cell r="P239">
            <v>27</v>
          </cell>
        </row>
        <row r="240">
          <cell r="F240">
            <v>7</v>
          </cell>
          <cell r="G240" t="b">
            <v>0</v>
          </cell>
          <cell r="N240">
            <v>2</v>
          </cell>
          <cell r="O240">
            <v>97</v>
          </cell>
          <cell r="P240">
            <v>99</v>
          </cell>
        </row>
        <row r="241">
          <cell r="F241">
            <v>8</v>
          </cell>
          <cell r="G241" t="b">
            <v>0</v>
          </cell>
          <cell r="N241">
            <v>3</v>
          </cell>
          <cell r="O241">
            <v>214</v>
          </cell>
          <cell r="P241">
            <v>217</v>
          </cell>
        </row>
        <row r="242">
          <cell r="F242">
            <v>9</v>
          </cell>
          <cell r="G242" t="b">
            <v>0</v>
          </cell>
          <cell r="N242">
            <v>3</v>
          </cell>
          <cell r="O242">
            <v>127</v>
          </cell>
          <cell r="P242">
            <v>130</v>
          </cell>
        </row>
        <row r="243">
          <cell r="F243">
            <v>10</v>
          </cell>
          <cell r="G243" t="b">
            <v>0</v>
          </cell>
          <cell r="N243">
            <v>3</v>
          </cell>
          <cell r="O243">
            <v>51</v>
          </cell>
          <cell r="P243">
            <v>54</v>
          </cell>
        </row>
        <row r="244">
          <cell r="F244">
            <v>11</v>
          </cell>
          <cell r="G244" t="b">
            <v>0</v>
          </cell>
          <cell r="N244">
            <v>4</v>
          </cell>
          <cell r="O244">
            <v>31</v>
          </cell>
          <cell r="P244">
            <v>35</v>
          </cell>
        </row>
        <row r="245">
          <cell r="F245">
            <v>12</v>
          </cell>
          <cell r="G245" t="b">
            <v>0</v>
          </cell>
          <cell r="N245">
            <v>2</v>
          </cell>
          <cell r="O245">
            <v>55</v>
          </cell>
          <cell r="P245">
            <v>57</v>
          </cell>
        </row>
        <row r="246">
          <cell r="F246">
            <v>13</v>
          </cell>
          <cell r="G246" t="b">
            <v>0</v>
          </cell>
          <cell r="N246">
            <v>6</v>
          </cell>
          <cell r="O246">
            <v>46</v>
          </cell>
          <cell r="P246">
            <v>52</v>
          </cell>
        </row>
        <row r="247">
          <cell r="F247">
            <v>14</v>
          </cell>
          <cell r="G247" t="b">
            <v>0</v>
          </cell>
          <cell r="N247">
            <v>3</v>
          </cell>
          <cell r="O247">
            <v>60</v>
          </cell>
          <cell r="P247">
            <v>63</v>
          </cell>
        </row>
        <row r="248">
          <cell r="F248">
            <v>15</v>
          </cell>
          <cell r="G248" t="b">
            <v>0</v>
          </cell>
          <cell r="N248">
            <v>2</v>
          </cell>
          <cell r="O248">
            <v>45</v>
          </cell>
          <cell r="P248">
            <v>47</v>
          </cell>
        </row>
        <row r="249">
          <cell r="F249">
            <v>16</v>
          </cell>
          <cell r="G249" t="b">
            <v>0</v>
          </cell>
          <cell r="N249">
            <v>4</v>
          </cell>
          <cell r="O249">
            <v>72</v>
          </cell>
          <cell r="P249">
            <v>76</v>
          </cell>
        </row>
        <row r="250">
          <cell r="F250">
            <v>17</v>
          </cell>
          <cell r="G250" t="b">
            <v>0</v>
          </cell>
          <cell r="N250">
            <v>6</v>
          </cell>
          <cell r="O250">
            <v>130</v>
          </cell>
          <cell r="P250">
            <v>136</v>
          </cell>
        </row>
        <row r="251">
          <cell r="F251">
            <v>18</v>
          </cell>
          <cell r="G251" t="b">
            <v>0</v>
          </cell>
          <cell r="N251">
            <v>1</v>
          </cell>
          <cell r="O251">
            <v>94</v>
          </cell>
          <cell r="P251">
            <v>95</v>
          </cell>
        </row>
        <row r="252">
          <cell r="F252">
            <v>19</v>
          </cell>
          <cell r="G252" t="b">
            <v>0</v>
          </cell>
          <cell r="N252">
            <v>0</v>
          </cell>
          <cell r="O252">
            <v>51</v>
          </cell>
          <cell r="P252">
            <v>51</v>
          </cell>
        </row>
        <row r="253">
          <cell r="F253">
            <v>20</v>
          </cell>
          <cell r="G253" t="b">
            <v>0</v>
          </cell>
          <cell r="N253">
            <v>0</v>
          </cell>
          <cell r="O253">
            <v>32</v>
          </cell>
          <cell r="P253">
            <v>32</v>
          </cell>
        </row>
        <row r="254">
          <cell r="F254">
            <v>21</v>
          </cell>
          <cell r="G254" t="b">
            <v>0</v>
          </cell>
          <cell r="N254">
            <v>0</v>
          </cell>
          <cell r="O254">
            <v>20</v>
          </cell>
          <cell r="P254">
            <v>20</v>
          </cell>
        </row>
        <row r="255">
          <cell r="F255">
            <v>22</v>
          </cell>
          <cell r="G255" t="b">
            <v>0</v>
          </cell>
          <cell r="N255">
            <v>1</v>
          </cell>
          <cell r="O255">
            <v>28</v>
          </cell>
          <cell r="P255">
            <v>29</v>
          </cell>
        </row>
        <row r="256">
          <cell r="F256">
            <v>23</v>
          </cell>
          <cell r="G256" t="b">
            <v>0</v>
          </cell>
          <cell r="N256">
            <v>1</v>
          </cell>
          <cell r="O256">
            <v>18</v>
          </cell>
          <cell r="P256">
            <v>19</v>
          </cell>
        </row>
        <row r="257">
          <cell r="F257">
            <v>0</v>
          </cell>
          <cell r="G257" t="b">
            <v>0</v>
          </cell>
          <cell r="N257">
            <v>0</v>
          </cell>
          <cell r="O257">
            <v>7</v>
          </cell>
          <cell r="P257">
            <v>7</v>
          </cell>
        </row>
        <row r="258">
          <cell r="F258">
            <v>1</v>
          </cell>
          <cell r="G258" t="b">
            <v>0</v>
          </cell>
          <cell r="N258">
            <v>0</v>
          </cell>
          <cell r="O258">
            <v>6</v>
          </cell>
          <cell r="P258">
            <v>6</v>
          </cell>
        </row>
        <row r="259">
          <cell r="F259">
            <v>2</v>
          </cell>
          <cell r="G259" t="b">
            <v>0</v>
          </cell>
          <cell r="N259">
            <v>0</v>
          </cell>
          <cell r="O259">
            <v>1</v>
          </cell>
          <cell r="P259">
            <v>1</v>
          </cell>
        </row>
        <row r="260">
          <cell r="F260">
            <v>5</v>
          </cell>
          <cell r="G260" t="b">
            <v>0</v>
          </cell>
          <cell r="N260">
            <v>0</v>
          </cell>
          <cell r="O260">
            <v>5</v>
          </cell>
          <cell r="P260">
            <v>5</v>
          </cell>
        </row>
        <row r="261">
          <cell r="F261">
            <v>6</v>
          </cell>
          <cell r="G261" t="b">
            <v>0</v>
          </cell>
          <cell r="N261">
            <v>0</v>
          </cell>
          <cell r="O261">
            <v>16</v>
          </cell>
          <cell r="P261">
            <v>16</v>
          </cell>
        </row>
        <row r="262">
          <cell r="F262">
            <v>7</v>
          </cell>
          <cell r="G262" t="b">
            <v>0</v>
          </cell>
          <cell r="N262">
            <v>0</v>
          </cell>
          <cell r="O262">
            <v>54</v>
          </cell>
          <cell r="P262">
            <v>54</v>
          </cell>
        </row>
        <row r="263">
          <cell r="F263">
            <v>8</v>
          </cell>
          <cell r="G263" t="b">
            <v>0</v>
          </cell>
          <cell r="N263">
            <v>3</v>
          </cell>
          <cell r="O263">
            <v>125</v>
          </cell>
          <cell r="P263">
            <v>128</v>
          </cell>
        </row>
        <row r="264">
          <cell r="F264">
            <v>9</v>
          </cell>
          <cell r="G264" t="b">
            <v>0</v>
          </cell>
          <cell r="N264">
            <v>3</v>
          </cell>
          <cell r="O264">
            <v>78</v>
          </cell>
          <cell r="P264">
            <v>81</v>
          </cell>
        </row>
        <row r="265">
          <cell r="F265">
            <v>10</v>
          </cell>
          <cell r="G265" t="b">
            <v>0</v>
          </cell>
          <cell r="N265">
            <v>0</v>
          </cell>
          <cell r="O265">
            <v>39</v>
          </cell>
          <cell r="P265">
            <v>39</v>
          </cell>
        </row>
        <row r="266">
          <cell r="F266">
            <v>11</v>
          </cell>
          <cell r="G266" t="b">
            <v>0</v>
          </cell>
          <cell r="N266">
            <v>3</v>
          </cell>
          <cell r="O266">
            <v>32</v>
          </cell>
          <cell r="P266">
            <v>35</v>
          </cell>
        </row>
        <row r="267">
          <cell r="F267">
            <v>12</v>
          </cell>
          <cell r="G267" t="b">
            <v>0</v>
          </cell>
          <cell r="N267">
            <v>3</v>
          </cell>
          <cell r="O267">
            <v>52</v>
          </cell>
          <cell r="P267">
            <v>55</v>
          </cell>
        </row>
        <row r="268">
          <cell r="F268">
            <v>13</v>
          </cell>
          <cell r="G268" t="b">
            <v>0</v>
          </cell>
          <cell r="N268">
            <v>0</v>
          </cell>
          <cell r="O268">
            <v>49</v>
          </cell>
          <cell r="P268">
            <v>49</v>
          </cell>
        </row>
        <row r="269">
          <cell r="F269">
            <v>14</v>
          </cell>
          <cell r="G269" t="b">
            <v>0</v>
          </cell>
          <cell r="N269">
            <v>0</v>
          </cell>
          <cell r="O269">
            <v>44</v>
          </cell>
          <cell r="P269">
            <v>44</v>
          </cell>
        </row>
        <row r="270">
          <cell r="F270">
            <v>15</v>
          </cell>
          <cell r="G270" t="b">
            <v>0</v>
          </cell>
          <cell r="N270">
            <v>1</v>
          </cell>
          <cell r="O270">
            <v>48</v>
          </cell>
          <cell r="P270">
            <v>49</v>
          </cell>
        </row>
        <row r="271">
          <cell r="F271">
            <v>16</v>
          </cell>
          <cell r="G271" t="b">
            <v>0</v>
          </cell>
          <cell r="N271">
            <v>5</v>
          </cell>
          <cell r="O271">
            <v>63</v>
          </cell>
          <cell r="P271">
            <v>68</v>
          </cell>
        </row>
        <row r="272">
          <cell r="F272">
            <v>17</v>
          </cell>
          <cell r="G272" t="b">
            <v>0</v>
          </cell>
          <cell r="N272">
            <v>0</v>
          </cell>
          <cell r="O272">
            <v>139</v>
          </cell>
          <cell r="P272">
            <v>139</v>
          </cell>
        </row>
        <row r="273">
          <cell r="F273">
            <v>18</v>
          </cell>
          <cell r="G273" t="b">
            <v>0</v>
          </cell>
          <cell r="N273">
            <v>2</v>
          </cell>
          <cell r="O273">
            <v>135</v>
          </cell>
          <cell r="P273">
            <v>137</v>
          </cell>
        </row>
        <row r="274">
          <cell r="F274">
            <v>19</v>
          </cell>
          <cell r="G274" t="b">
            <v>0</v>
          </cell>
          <cell r="N274">
            <v>1</v>
          </cell>
          <cell r="O274">
            <v>82</v>
          </cell>
          <cell r="P274">
            <v>83</v>
          </cell>
        </row>
        <row r="275">
          <cell r="F275">
            <v>20</v>
          </cell>
          <cell r="G275" t="b">
            <v>0</v>
          </cell>
          <cell r="N275">
            <v>2</v>
          </cell>
          <cell r="O275">
            <v>54</v>
          </cell>
          <cell r="P275">
            <v>56</v>
          </cell>
        </row>
        <row r="276">
          <cell r="F276">
            <v>21</v>
          </cell>
          <cell r="G276" t="b">
            <v>0</v>
          </cell>
          <cell r="N276">
            <v>0</v>
          </cell>
          <cell r="O276">
            <v>57</v>
          </cell>
          <cell r="P276">
            <v>57</v>
          </cell>
        </row>
        <row r="277">
          <cell r="F277">
            <v>22</v>
          </cell>
          <cell r="G277" t="b">
            <v>0</v>
          </cell>
          <cell r="N277">
            <v>1</v>
          </cell>
          <cell r="O277">
            <v>32</v>
          </cell>
          <cell r="P277">
            <v>33</v>
          </cell>
        </row>
        <row r="278">
          <cell r="F278">
            <v>23</v>
          </cell>
          <cell r="G278" t="b">
            <v>0</v>
          </cell>
          <cell r="N278">
            <v>1</v>
          </cell>
          <cell r="O278">
            <v>19</v>
          </cell>
          <cell r="P278">
            <v>20</v>
          </cell>
        </row>
        <row r="279">
          <cell r="F279">
            <v>0</v>
          </cell>
          <cell r="G279" t="b">
            <v>0</v>
          </cell>
          <cell r="N279">
            <v>1</v>
          </cell>
          <cell r="O279">
            <v>6</v>
          </cell>
          <cell r="P279">
            <v>7</v>
          </cell>
        </row>
        <row r="280">
          <cell r="F280">
            <v>1</v>
          </cell>
          <cell r="G280" t="b">
            <v>0</v>
          </cell>
          <cell r="N280">
            <v>0</v>
          </cell>
          <cell r="O280">
            <v>2</v>
          </cell>
          <cell r="P280">
            <v>2</v>
          </cell>
        </row>
        <row r="281">
          <cell r="F281">
            <v>2</v>
          </cell>
          <cell r="G281" t="b">
            <v>0</v>
          </cell>
          <cell r="N281">
            <v>0</v>
          </cell>
          <cell r="O281">
            <v>2</v>
          </cell>
          <cell r="P281">
            <v>2</v>
          </cell>
        </row>
        <row r="282">
          <cell r="F282">
            <v>3</v>
          </cell>
          <cell r="G282" t="b">
            <v>0</v>
          </cell>
          <cell r="N282">
            <v>0</v>
          </cell>
          <cell r="O282">
            <v>3</v>
          </cell>
          <cell r="P282">
            <v>3</v>
          </cell>
        </row>
        <row r="283">
          <cell r="F283">
            <v>4</v>
          </cell>
          <cell r="G283" t="b">
            <v>0</v>
          </cell>
          <cell r="N283">
            <v>0</v>
          </cell>
          <cell r="O283">
            <v>4</v>
          </cell>
          <cell r="P283">
            <v>4</v>
          </cell>
        </row>
        <row r="284">
          <cell r="F284">
            <v>5</v>
          </cell>
          <cell r="G284" t="b">
            <v>0</v>
          </cell>
          <cell r="N284">
            <v>0</v>
          </cell>
          <cell r="O284">
            <v>3</v>
          </cell>
          <cell r="P284">
            <v>3</v>
          </cell>
        </row>
        <row r="285">
          <cell r="F285">
            <v>6</v>
          </cell>
          <cell r="G285" t="b">
            <v>0</v>
          </cell>
          <cell r="N285">
            <v>0</v>
          </cell>
          <cell r="O285">
            <v>28</v>
          </cell>
          <cell r="P285">
            <v>28</v>
          </cell>
        </row>
        <row r="286">
          <cell r="F286">
            <v>7</v>
          </cell>
          <cell r="G286" t="b">
            <v>0</v>
          </cell>
          <cell r="N286">
            <v>0</v>
          </cell>
          <cell r="O286">
            <v>72</v>
          </cell>
          <cell r="P286">
            <v>72</v>
          </cell>
        </row>
        <row r="287">
          <cell r="F287">
            <v>8</v>
          </cell>
          <cell r="G287" t="b">
            <v>0</v>
          </cell>
          <cell r="N287">
            <v>5</v>
          </cell>
          <cell r="O287">
            <v>197</v>
          </cell>
          <cell r="P287">
            <v>202</v>
          </cell>
        </row>
        <row r="288">
          <cell r="F288">
            <v>9</v>
          </cell>
          <cell r="G288" t="b">
            <v>0</v>
          </cell>
          <cell r="N288">
            <v>2</v>
          </cell>
          <cell r="O288">
            <v>137</v>
          </cell>
          <cell r="P288">
            <v>139</v>
          </cell>
        </row>
        <row r="289">
          <cell r="F289">
            <v>10</v>
          </cell>
          <cell r="G289" t="b">
            <v>0</v>
          </cell>
          <cell r="N289">
            <v>2</v>
          </cell>
          <cell r="O289">
            <v>36</v>
          </cell>
          <cell r="P289">
            <v>38</v>
          </cell>
        </row>
        <row r="290">
          <cell r="F290">
            <v>11</v>
          </cell>
          <cell r="G290" t="b">
            <v>0</v>
          </cell>
          <cell r="N290">
            <v>4</v>
          </cell>
          <cell r="O290">
            <v>33</v>
          </cell>
          <cell r="P290">
            <v>37</v>
          </cell>
        </row>
        <row r="291">
          <cell r="F291">
            <v>12</v>
          </cell>
          <cell r="G291" t="b">
            <v>0</v>
          </cell>
          <cell r="N291">
            <v>3</v>
          </cell>
          <cell r="O291">
            <v>49</v>
          </cell>
          <cell r="P291">
            <v>52</v>
          </cell>
        </row>
        <row r="292">
          <cell r="F292">
            <v>13</v>
          </cell>
          <cell r="G292" t="b">
            <v>0</v>
          </cell>
          <cell r="N292">
            <v>2</v>
          </cell>
          <cell r="O292">
            <v>81</v>
          </cell>
          <cell r="P292">
            <v>83</v>
          </cell>
        </row>
        <row r="293">
          <cell r="F293">
            <v>14</v>
          </cell>
          <cell r="G293" t="b">
            <v>0</v>
          </cell>
          <cell r="N293">
            <v>3</v>
          </cell>
          <cell r="O293">
            <v>39</v>
          </cell>
          <cell r="P293">
            <v>42</v>
          </cell>
        </row>
        <row r="294">
          <cell r="F294">
            <v>15</v>
          </cell>
          <cell r="G294" t="b">
            <v>0</v>
          </cell>
          <cell r="N294">
            <v>5</v>
          </cell>
          <cell r="O294">
            <v>55</v>
          </cell>
          <cell r="P294">
            <v>60</v>
          </cell>
        </row>
        <row r="295">
          <cell r="F295">
            <v>16</v>
          </cell>
          <cell r="G295" t="b">
            <v>0</v>
          </cell>
          <cell r="N295">
            <v>2</v>
          </cell>
          <cell r="O295">
            <v>76</v>
          </cell>
          <cell r="P295">
            <v>78</v>
          </cell>
        </row>
        <row r="296">
          <cell r="F296">
            <v>17</v>
          </cell>
          <cell r="G296" t="b">
            <v>0</v>
          </cell>
          <cell r="N296">
            <v>4</v>
          </cell>
          <cell r="O296">
            <v>158</v>
          </cell>
          <cell r="P296">
            <v>162</v>
          </cell>
        </row>
        <row r="297">
          <cell r="F297">
            <v>18</v>
          </cell>
          <cell r="G297" t="b">
            <v>0</v>
          </cell>
          <cell r="N297">
            <v>3</v>
          </cell>
          <cell r="O297">
            <v>141</v>
          </cell>
          <cell r="P297">
            <v>144</v>
          </cell>
        </row>
        <row r="298">
          <cell r="F298">
            <v>19</v>
          </cell>
          <cell r="G298" t="b">
            <v>0</v>
          </cell>
          <cell r="N298">
            <v>1</v>
          </cell>
          <cell r="O298">
            <v>98</v>
          </cell>
          <cell r="P298">
            <v>99</v>
          </cell>
        </row>
        <row r="299">
          <cell r="F299">
            <v>20</v>
          </cell>
          <cell r="G299" t="b">
            <v>0</v>
          </cell>
          <cell r="N299">
            <v>0</v>
          </cell>
          <cell r="O299">
            <v>64</v>
          </cell>
          <cell r="P299">
            <v>64</v>
          </cell>
        </row>
        <row r="300">
          <cell r="F300">
            <v>21</v>
          </cell>
          <cell r="G300" t="b">
            <v>0</v>
          </cell>
          <cell r="N300">
            <v>0</v>
          </cell>
          <cell r="O300">
            <v>40</v>
          </cell>
          <cell r="P300">
            <v>40</v>
          </cell>
        </row>
        <row r="301">
          <cell r="F301">
            <v>22</v>
          </cell>
          <cell r="G301" t="b">
            <v>0</v>
          </cell>
          <cell r="N301">
            <v>0</v>
          </cell>
          <cell r="O301">
            <v>30</v>
          </cell>
          <cell r="P301">
            <v>30</v>
          </cell>
        </row>
        <row r="302">
          <cell r="F302">
            <v>23</v>
          </cell>
          <cell r="G302" t="b">
            <v>0</v>
          </cell>
          <cell r="N302">
            <v>1</v>
          </cell>
          <cell r="O302">
            <v>14</v>
          </cell>
          <cell r="P302">
            <v>15</v>
          </cell>
        </row>
        <row r="303">
          <cell r="F303">
            <v>0</v>
          </cell>
          <cell r="G303" t="b">
            <v>0</v>
          </cell>
          <cell r="N303">
            <v>0</v>
          </cell>
          <cell r="O303">
            <v>14</v>
          </cell>
          <cell r="P303">
            <v>14</v>
          </cell>
        </row>
        <row r="304">
          <cell r="F304">
            <v>1</v>
          </cell>
          <cell r="G304" t="b">
            <v>0</v>
          </cell>
          <cell r="N304">
            <v>0</v>
          </cell>
          <cell r="O304">
            <v>5</v>
          </cell>
          <cell r="P304">
            <v>5</v>
          </cell>
        </row>
        <row r="305">
          <cell r="F305">
            <v>2</v>
          </cell>
          <cell r="G305" t="b">
            <v>0</v>
          </cell>
          <cell r="N305">
            <v>0</v>
          </cell>
          <cell r="O305">
            <v>1</v>
          </cell>
          <cell r="P305">
            <v>1</v>
          </cell>
        </row>
        <row r="306">
          <cell r="F306">
            <v>3</v>
          </cell>
          <cell r="G306" t="b">
            <v>0</v>
          </cell>
          <cell r="N306">
            <v>0</v>
          </cell>
          <cell r="O306">
            <v>1</v>
          </cell>
          <cell r="P306">
            <v>1</v>
          </cell>
        </row>
        <row r="307">
          <cell r="F307">
            <v>5</v>
          </cell>
          <cell r="G307" t="b">
            <v>0</v>
          </cell>
          <cell r="N307">
            <v>0</v>
          </cell>
          <cell r="O307">
            <v>8</v>
          </cell>
          <cell r="P307">
            <v>8</v>
          </cell>
        </row>
        <row r="308">
          <cell r="F308">
            <v>6</v>
          </cell>
          <cell r="G308" t="b">
            <v>0</v>
          </cell>
          <cell r="N308">
            <v>0</v>
          </cell>
          <cell r="O308">
            <v>17</v>
          </cell>
          <cell r="P308">
            <v>17</v>
          </cell>
        </row>
        <row r="309">
          <cell r="F309">
            <v>7</v>
          </cell>
          <cell r="G309" t="b">
            <v>0</v>
          </cell>
          <cell r="N309">
            <v>0</v>
          </cell>
          <cell r="O309">
            <v>70</v>
          </cell>
          <cell r="P309">
            <v>70</v>
          </cell>
        </row>
        <row r="310">
          <cell r="F310">
            <v>8</v>
          </cell>
          <cell r="G310" t="b">
            <v>0</v>
          </cell>
          <cell r="N310">
            <v>2</v>
          </cell>
          <cell r="O310">
            <v>156</v>
          </cell>
          <cell r="P310">
            <v>158</v>
          </cell>
        </row>
        <row r="311">
          <cell r="F311">
            <v>9</v>
          </cell>
          <cell r="G311" t="b">
            <v>0</v>
          </cell>
          <cell r="N311">
            <v>0</v>
          </cell>
          <cell r="O311">
            <v>117</v>
          </cell>
          <cell r="P311">
            <v>117</v>
          </cell>
        </row>
        <row r="312">
          <cell r="F312">
            <v>10</v>
          </cell>
          <cell r="G312" t="b">
            <v>0</v>
          </cell>
          <cell r="N312">
            <v>4</v>
          </cell>
          <cell r="O312">
            <v>40</v>
          </cell>
          <cell r="P312">
            <v>44</v>
          </cell>
        </row>
        <row r="313">
          <cell r="F313">
            <v>11</v>
          </cell>
          <cell r="G313" t="b">
            <v>0</v>
          </cell>
          <cell r="N313">
            <v>6</v>
          </cell>
          <cell r="O313">
            <v>47</v>
          </cell>
          <cell r="P313">
            <v>53</v>
          </cell>
        </row>
        <row r="314">
          <cell r="F314">
            <v>12</v>
          </cell>
          <cell r="G314" t="b">
            <v>0</v>
          </cell>
          <cell r="N314">
            <v>2</v>
          </cell>
          <cell r="O314">
            <v>59</v>
          </cell>
          <cell r="P314">
            <v>61</v>
          </cell>
        </row>
        <row r="315">
          <cell r="F315">
            <v>13</v>
          </cell>
          <cell r="G315" t="b">
            <v>0</v>
          </cell>
          <cell r="N315">
            <v>4</v>
          </cell>
          <cell r="O315">
            <v>73</v>
          </cell>
          <cell r="P315">
            <v>77</v>
          </cell>
        </row>
        <row r="316">
          <cell r="F316">
            <v>14</v>
          </cell>
          <cell r="G316" t="b">
            <v>0</v>
          </cell>
          <cell r="N316">
            <v>5</v>
          </cell>
          <cell r="O316">
            <v>59</v>
          </cell>
          <cell r="P316">
            <v>64</v>
          </cell>
        </row>
        <row r="317">
          <cell r="F317">
            <v>15</v>
          </cell>
          <cell r="G317" t="b">
            <v>0</v>
          </cell>
          <cell r="N317">
            <v>9</v>
          </cell>
          <cell r="O317">
            <v>59</v>
          </cell>
          <cell r="P317">
            <v>68</v>
          </cell>
        </row>
        <row r="318">
          <cell r="F318">
            <v>16</v>
          </cell>
          <cell r="G318" t="b">
            <v>0</v>
          </cell>
          <cell r="N318">
            <v>3</v>
          </cell>
          <cell r="O318">
            <v>87</v>
          </cell>
          <cell r="P318">
            <v>90</v>
          </cell>
        </row>
        <row r="319">
          <cell r="F319">
            <v>17</v>
          </cell>
          <cell r="G319" t="b">
            <v>0</v>
          </cell>
          <cell r="N319">
            <v>4</v>
          </cell>
          <cell r="O319">
            <v>155</v>
          </cell>
          <cell r="P319">
            <v>159</v>
          </cell>
        </row>
        <row r="320">
          <cell r="F320">
            <v>18</v>
          </cell>
          <cell r="G320" t="b">
            <v>0</v>
          </cell>
          <cell r="N320">
            <v>5</v>
          </cell>
          <cell r="O320">
            <v>134</v>
          </cell>
          <cell r="P320">
            <v>139</v>
          </cell>
        </row>
        <row r="321">
          <cell r="F321">
            <v>19</v>
          </cell>
          <cell r="G321" t="b">
            <v>0</v>
          </cell>
          <cell r="N321">
            <v>3</v>
          </cell>
          <cell r="O321">
            <v>89</v>
          </cell>
          <cell r="P321">
            <v>92</v>
          </cell>
        </row>
        <row r="322">
          <cell r="F322">
            <v>20</v>
          </cell>
          <cell r="G322" t="b">
            <v>0</v>
          </cell>
          <cell r="N322">
            <v>0</v>
          </cell>
          <cell r="O322">
            <v>68</v>
          </cell>
          <cell r="P322">
            <v>68</v>
          </cell>
        </row>
        <row r="323">
          <cell r="F323">
            <v>21</v>
          </cell>
          <cell r="G323" t="b">
            <v>0</v>
          </cell>
          <cell r="N323">
            <v>4</v>
          </cell>
          <cell r="O323">
            <v>48</v>
          </cell>
          <cell r="P323">
            <v>52</v>
          </cell>
        </row>
        <row r="324">
          <cell r="F324">
            <v>22</v>
          </cell>
          <cell r="G324" t="b">
            <v>0</v>
          </cell>
          <cell r="N324">
            <v>2</v>
          </cell>
          <cell r="O324">
            <v>34</v>
          </cell>
          <cell r="P324">
            <v>36</v>
          </cell>
        </row>
        <row r="325">
          <cell r="F325">
            <v>23</v>
          </cell>
          <cell r="G325" t="b">
            <v>0</v>
          </cell>
          <cell r="N325">
            <v>1</v>
          </cell>
          <cell r="O325">
            <v>26</v>
          </cell>
          <cell r="P325">
            <v>27</v>
          </cell>
        </row>
        <row r="326">
          <cell r="F326">
            <v>0</v>
          </cell>
          <cell r="G326" t="b">
            <v>0</v>
          </cell>
          <cell r="N326">
            <v>3</v>
          </cell>
          <cell r="O326">
            <v>25</v>
          </cell>
          <cell r="P326">
            <v>28</v>
          </cell>
        </row>
        <row r="327">
          <cell r="F327">
            <v>1</v>
          </cell>
          <cell r="G327" t="b">
            <v>0</v>
          </cell>
          <cell r="N327">
            <v>2</v>
          </cell>
          <cell r="O327">
            <v>18</v>
          </cell>
          <cell r="P327">
            <v>20</v>
          </cell>
        </row>
        <row r="328">
          <cell r="F328">
            <v>2</v>
          </cell>
          <cell r="G328" t="b">
            <v>0</v>
          </cell>
          <cell r="N328">
            <v>0</v>
          </cell>
          <cell r="O328">
            <v>12</v>
          </cell>
          <cell r="P328">
            <v>12</v>
          </cell>
        </row>
        <row r="329">
          <cell r="F329">
            <v>3</v>
          </cell>
          <cell r="G329" t="b">
            <v>0</v>
          </cell>
          <cell r="N329">
            <v>1</v>
          </cell>
          <cell r="O329">
            <v>7</v>
          </cell>
          <cell r="P329">
            <v>8</v>
          </cell>
        </row>
        <row r="330">
          <cell r="F330">
            <v>4</v>
          </cell>
          <cell r="G330" t="b">
            <v>0</v>
          </cell>
          <cell r="N330">
            <v>0</v>
          </cell>
          <cell r="O330">
            <v>5</v>
          </cell>
          <cell r="P330">
            <v>5</v>
          </cell>
        </row>
        <row r="331">
          <cell r="F331">
            <v>5</v>
          </cell>
          <cell r="G331" t="b">
            <v>0</v>
          </cell>
          <cell r="N331">
            <v>0</v>
          </cell>
          <cell r="O331">
            <v>1</v>
          </cell>
          <cell r="P331">
            <v>1</v>
          </cell>
        </row>
        <row r="332">
          <cell r="F332">
            <v>6</v>
          </cell>
          <cell r="G332" t="b">
            <v>0</v>
          </cell>
          <cell r="N332">
            <v>1</v>
          </cell>
          <cell r="O332">
            <v>2</v>
          </cell>
          <cell r="P332">
            <v>3</v>
          </cell>
        </row>
        <row r="333">
          <cell r="F333">
            <v>7</v>
          </cell>
          <cell r="G333" t="b">
            <v>0</v>
          </cell>
          <cell r="N333">
            <v>1</v>
          </cell>
          <cell r="O333">
            <v>9</v>
          </cell>
          <cell r="P333">
            <v>10</v>
          </cell>
        </row>
        <row r="334">
          <cell r="F334">
            <v>8</v>
          </cell>
          <cell r="G334" t="b">
            <v>0</v>
          </cell>
          <cell r="N334">
            <v>1</v>
          </cell>
          <cell r="O334">
            <v>22</v>
          </cell>
          <cell r="P334">
            <v>23</v>
          </cell>
        </row>
        <row r="335">
          <cell r="F335">
            <v>9</v>
          </cell>
          <cell r="G335" t="b">
            <v>0</v>
          </cell>
          <cell r="N335">
            <v>2</v>
          </cell>
          <cell r="O335">
            <v>31</v>
          </cell>
          <cell r="P335">
            <v>33</v>
          </cell>
        </row>
        <row r="336">
          <cell r="F336">
            <v>10</v>
          </cell>
          <cell r="G336" t="b">
            <v>0</v>
          </cell>
          <cell r="N336">
            <v>2</v>
          </cell>
          <cell r="O336">
            <v>57</v>
          </cell>
          <cell r="P336">
            <v>59</v>
          </cell>
        </row>
        <row r="337">
          <cell r="F337">
            <v>11</v>
          </cell>
          <cell r="G337" t="b">
            <v>0</v>
          </cell>
          <cell r="N337">
            <v>18</v>
          </cell>
          <cell r="O337">
            <v>54</v>
          </cell>
          <cell r="P337">
            <v>72</v>
          </cell>
        </row>
        <row r="338">
          <cell r="F338">
            <v>12</v>
          </cell>
          <cell r="G338" t="b">
            <v>0</v>
          </cell>
          <cell r="N338">
            <v>15</v>
          </cell>
          <cell r="O338">
            <v>74</v>
          </cell>
          <cell r="P338">
            <v>89</v>
          </cell>
        </row>
        <row r="339">
          <cell r="F339">
            <v>13</v>
          </cell>
          <cell r="G339" t="b">
            <v>0</v>
          </cell>
          <cell r="N339">
            <v>21</v>
          </cell>
          <cell r="O339">
            <v>80</v>
          </cell>
          <cell r="P339">
            <v>101</v>
          </cell>
        </row>
        <row r="340">
          <cell r="F340">
            <v>14</v>
          </cell>
          <cell r="G340" t="b">
            <v>0</v>
          </cell>
          <cell r="N340">
            <v>26</v>
          </cell>
          <cell r="O340">
            <v>92</v>
          </cell>
          <cell r="P340">
            <v>118</v>
          </cell>
        </row>
        <row r="341">
          <cell r="F341">
            <v>15</v>
          </cell>
          <cell r="G341" t="b">
            <v>0</v>
          </cell>
          <cell r="N341">
            <v>21</v>
          </cell>
          <cell r="O341">
            <v>108</v>
          </cell>
          <cell r="P341">
            <v>129</v>
          </cell>
        </row>
        <row r="342">
          <cell r="F342">
            <v>16</v>
          </cell>
          <cell r="G342" t="b">
            <v>0</v>
          </cell>
          <cell r="N342">
            <v>33</v>
          </cell>
          <cell r="O342">
            <v>95</v>
          </cell>
          <cell r="P342">
            <v>128</v>
          </cell>
        </row>
        <row r="343">
          <cell r="F343">
            <v>17</v>
          </cell>
          <cell r="G343" t="b">
            <v>0</v>
          </cell>
          <cell r="N343">
            <v>29</v>
          </cell>
          <cell r="O343">
            <v>54</v>
          </cell>
          <cell r="P343">
            <v>83</v>
          </cell>
        </row>
        <row r="344">
          <cell r="F344">
            <v>18</v>
          </cell>
          <cell r="G344" t="b">
            <v>0</v>
          </cell>
          <cell r="N344">
            <v>15</v>
          </cell>
          <cell r="O344">
            <v>69</v>
          </cell>
          <cell r="P344">
            <v>84</v>
          </cell>
        </row>
        <row r="345">
          <cell r="F345">
            <v>19</v>
          </cell>
          <cell r="G345" t="b">
            <v>0</v>
          </cell>
          <cell r="N345">
            <v>14</v>
          </cell>
          <cell r="O345">
            <v>60</v>
          </cell>
          <cell r="P345">
            <v>74</v>
          </cell>
        </row>
        <row r="346">
          <cell r="F346">
            <v>20</v>
          </cell>
          <cell r="G346" t="b">
            <v>0</v>
          </cell>
          <cell r="N346">
            <v>6</v>
          </cell>
          <cell r="O346">
            <v>35</v>
          </cell>
          <cell r="P346">
            <v>41</v>
          </cell>
        </row>
        <row r="347">
          <cell r="F347">
            <v>21</v>
          </cell>
          <cell r="G347" t="b">
            <v>0</v>
          </cell>
          <cell r="N347">
            <v>6</v>
          </cell>
          <cell r="O347">
            <v>51</v>
          </cell>
          <cell r="P347">
            <v>57</v>
          </cell>
        </row>
        <row r="348">
          <cell r="F348">
            <v>22</v>
          </cell>
          <cell r="G348" t="b">
            <v>0</v>
          </cell>
          <cell r="N348">
            <v>0</v>
          </cell>
          <cell r="O348">
            <v>26</v>
          </cell>
          <cell r="P348">
            <v>26</v>
          </cell>
        </row>
        <row r="349">
          <cell r="F349">
            <v>23</v>
          </cell>
          <cell r="G349" t="b">
            <v>0</v>
          </cell>
          <cell r="N349">
            <v>5</v>
          </cell>
          <cell r="O349">
            <v>39</v>
          </cell>
          <cell r="P349">
            <v>44</v>
          </cell>
        </row>
        <row r="350">
          <cell r="F350">
            <v>0</v>
          </cell>
          <cell r="G350" t="b">
            <v>0</v>
          </cell>
          <cell r="N350">
            <v>6</v>
          </cell>
          <cell r="O350">
            <v>33</v>
          </cell>
          <cell r="P350">
            <v>39</v>
          </cell>
        </row>
        <row r="351">
          <cell r="F351">
            <v>1</v>
          </cell>
          <cell r="G351" t="b">
            <v>0</v>
          </cell>
          <cell r="N351">
            <v>4</v>
          </cell>
          <cell r="O351">
            <v>19</v>
          </cell>
          <cell r="P351">
            <v>23</v>
          </cell>
        </row>
        <row r="352">
          <cell r="F352">
            <v>2</v>
          </cell>
          <cell r="G352" t="b">
            <v>0</v>
          </cell>
          <cell r="N352">
            <v>3</v>
          </cell>
          <cell r="O352">
            <v>13</v>
          </cell>
          <cell r="P352">
            <v>16</v>
          </cell>
        </row>
        <row r="353">
          <cell r="F353">
            <v>3</v>
          </cell>
          <cell r="G353" t="b">
            <v>0</v>
          </cell>
          <cell r="N353">
            <v>9</v>
          </cell>
          <cell r="O353">
            <v>6</v>
          </cell>
          <cell r="P353">
            <v>15</v>
          </cell>
        </row>
        <row r="354">
          <cell r="F354">
            <v>4</v>
          </cell>
          <cell r="G354" t="b">
            <v>0</v>
          </cell>
          <cell r="N354">
            <v>0</v>
          </cell>
          <cell r="O354">
            <v>1</v>
          </cell>
          <cell r="P354">
            <v>1</v>
          </cell>
        </row>
        <row r="355">
          <cell r="F355">
            <v>5</v>
          </cell>
          <cell r="G355" t="b">
            <v>0</v>
          </cell>
          <cell r="N355">
            <v>1</v>
          </cell>
          <cell r="O355">
            <v>1</v>
          </cell>
          <cell r="P355">
            <v>2</v>
          </cell>
        </row>
        <row r="356">
          <cell r="F356">
            <v>6</v>
          </cell>
          <cell r="G356" t="b">
            <v>0</v>
          </cell>
          <cell r="N356">
            <v>0</v>
          </cell>
          <cell r="O356">
            <v>1</v>
          </cell>
          <cell r="P356">
            <v>1</v>
          </cell>
        </row>
        <row r="357">
          <cell r="F357">
            <v>7</v>
          </cell>
          <cell r="G357" t="b">
            <v>0</v>
          </cell>
          <cell r="N357">
            <v>0</v>
          </cell>
          <cell r="O357">
            <v>3</v>
          </cell>
          <cell r="P357">
            <v>3</v>
          </cell>
        </row>
        <row r="358">
          <cell r="F358">
            <v>8</v>
          </cell>
          <cell r="G358" t="b">
            <v>0</v>
          </cell>
          <cell r="N358">
            <v>0</v>
          </cell>
          <cell r="O358">
            <v>18</v>
          </cell>
          <cell r="P358">
            <v>18</v>
          </cell>
        </row>
        <row r="359">
          <cell r="F359">
            <v>9</v>
          </cell>
          <cell r="G359" t="b">
            <v>0</v>
          </cell>
          <cell r="N359">
            <v>3</v>
          </cell>
          <cell r="O359">
            <v>29</v>
          </cell>
          <cell r="P359">
            <v>32</v>
          </cell>
        </row>
        <row r="360">
          <cell r="F360">
            <v>10</v>
          </cell>
          <cell r="G360" t="b">
            <v>0</v>
          </cell>
          <cell r="N360">
            <v>8</v>
          </cell>
          <cell r="O360">
            <v>71</v>
          </cell>
          <cell r="P360">
            <v>79</v>
          </cell>
        </row>
        <row r="361">
          <cell r="F361">
            <v>11</v>
          </cell>
          <cell r="G361" t="b">
            <v>0</v>
          </cell>
          <cell r="N361">
            <v>23</v>
          </cell>
          <cell r="O361">
            <v>70</v>
          </cell>
          <cell r="P361">
            <v>93</v>
          </cell>
        </row>
        <row r="362">
          <cell r="F362">
            <v>12</v>
          </cell>
          <cell r="G362" t="b">
            <v>0</v>
          </cell>
          <cell r="N362">
            <v>29</v>
          </cell>
          <cell r="O362">
            <v>75</v>
          </cell>
          <cell r="P362">
            <v>104</v>
          </cell>
        </row>
        <row r="363">
          <cell r="F363">
            <v>13</v>
          </cell>
          <cell r="G363" t="b">
            <v>0</v>
          </cell>
          <cell r="N363">
            <v>23</v>
          </cell>
          <cell r="O363">
            <v>95</v>
          </cell>
          <cell r="P363">
            <v>118</v>
          </cell>
        </row>
        <row r="364">
          <cell r="F364">
            <v>14</v>
          </cell>
          <cell r="G364" t="b">
            <v>0</v>
          </cell>
          <cell r="N364">
            <v>22</v>
          </cell>
          <cell r="O364">
            <v>69</v>
          </cell>
          <cell r="P364">
            <v>91</v>
          </cell>
        </row>
        <row r="365">
          <cell r="F365">
            <v>15</v>
          </cell>
          <cell r="G365" t="b">
            <v>0</v>
          </cell>
          <cell r="N365">
            <v>35</v>
          </cell>
          <cell r="O365">
            <v>78</v>
          </cell>
          <cell r="P365">
            <v>113</v>
          </cell>
        </row>
        <row r="366">
          <cell r="F366">
            <v>16</v>
          </cell>
          <cell r="G366" t="b">
            <v>0</v>
          </cell>
          <cell r="N366">
            <v>22</v>
          </cell>
          <cell r="O366">
            <v>77</v>
          </cell>
          <cell r="P366">
            <v>99</v>
          </cell>
        </row>
        <row r="367">
          <cell r="F367">
            <v>17</v>
          </cell>
          <cell r="G367" t="b">
            <v>0</v>
          </cell>
          <cell r="N367">
            <v>23</v>
          </cell>
          <cell r="O367">
            <v>82</v>
          </cell>
          <cell r="P367">
            <v>105</v>
          </cell>
        </row>
        <row r="368">
          <cell r="F368">
            <v>18</v>
          </cell>
          <cell r="G368" t="b">
            <v>0</v>
          </cell>
          <cell r="N368">
            <v>11</v>
          </cell>
          <cell r="O368">
            <v>56</v>
          </cell>
          <cell r="P368">
            <v>67</v>
          </cell>
        </row>
        <row r="369">
          <cell r="F369">
            <v>19</v>
          </cell>
          <cell r="G369" t="b">
            <v>0</v>
          </cell>
          <cell r="N369">
            <v>14</v>
          </cell>
          <cell r="O369">
            <v>47</v>
          </cell>
          <cell r="P369">
            <v>61</v>
          </cell>
        </row>
        <row r="370">
          <cell r="F370">
            <v>20</v>
          </cell>
          <cell r="G370" t="b">
            <v>0</v>
          </cell>
          <cell r="N370">
            <v>7</v>
          </cell>
          <cell r="O370">
            <v>50</v>
          </cell>
          <cell r="P370">
            <v>57</v>
          </cell>
        </row>
        <row r="371">
          <cell r="F371">
            <v>21</v>
          </cell>
          <cell r="G371" t="b">
            <v>0</v>
          </cell>
          <cell r="N371">
            <v>6</v>
          </cell>
          <cell r="O371">
            <v>22</v>
          </cell>
          <cell r="P371">
            <v>28</v>
          </cell>
        </row>
        <row r="372">
          <cell r="F372">
            <v>22</v>
          </cell>
          <cell r="G372" t="b">
            <v>0</v>
          </cell>
          <cell r="N372">
            <v>2</v>
          </cell>
          <cell r="O372">
            <v>19</v>
          </cell>
          <cell r="P372">
            <v>21</v>
          </cell>
        </row>
        <row r="373">
          <cell r="F373">
            <v>23</v>
          </cell>
          <cell r="G373" t="b">
            <v>0</v>
          </cell>
          <cell r="N373">
            <v>0</v>
          </cell>
          <cell r="O373">
            <v>18</v>
          </cell>
          <cell r="P373">
            <v>18</v>
          </cell>
        </row>
        <row r="374">
          <cell r="F374">
            <v>0</v>
          </cell>
          <cell r="G374" t="b">
            <v>1</v>
          </cell>
          <cell r="N374">
            <v>1</v>
          </cell>
          <cell r="O374">
            <v>16</v>
          </cell>
          <cell r="P374">
            <v>17</v>
          </cell>
        </row>
        <row r="375">
          <cell r="F375">
            <v>1</v>
          </cell>
          <cell r="G375" t="b">
            <v>1</v>
          </cell>
          <cell r="N375">
            <v>1</v>
          </cell>
          <cell r="O375">
            <v>15</v>
          </cell>
          <cell r="P375">
            <v>16</v>
          </cell>
        </row>
        <row r="376">
          <cell r="F376">
            <v>2</v>
          </cell>
          <cell r="G376" t="b">
            <v>1</v>
          </cell>
          <cell r="N376">
            <v>0</v>
          </cell>
          <cell r="O376">
            <v>8</v>
          </cell>
          <cell r="P376">
            <v>8</v>
          </cell>
        </row>
        <row r="377">
          <cell r="F377">
            <v>3</v>
          </cell>
          <cell r="G377" t="b">
            <v>1</v>
          </cell>
          <cell r="N377">
            <v>0</v>
          </cell>
          <cell r="O377">
            <v>2</v>
          </cell>
          <cell r="P377">
            <v>2</v>
          </cell>
        </row>
        <row r="378">
          <cell r="F378">
            <v>4</v>
          </cell>
          <cell r="G378" t="b">
            <v>1</v>
          </cell>
          <cell r="N378">
            <v>1</v>
          </cell>
          <cell r="O378">
            <v>2</v>
          </cell>
          <cell r="P378">
            <v>3</v>
          </cell>
        </row>
        <row r="379">
          <cell r="F379">
            <v>5</v>
          </cell>
          <cell r="G379" t="b">
            <v>1</v>
          </cell>
          <cell r="N379">
            <v>0</v>
          </cell>
          <cell r="O379">
            <v>1</v>
          </cell>
          <cell r="P379">
            <v>1</v>
          </cell>
        </row>
        <row r="380">
          <cell r="F380">
            <v>6</v>
          </cell>
          <cell r="G380" t="b">
            <v>1</v>
          </cell>
          <cell r="N380">
            <v>0</v>
          </cell>
          <cell r="O380">
            <v>5</v>
          </cell>
          <cell r="P380">
            <v>5</v>
          </cell>
        </row>
        <row r="381">
          <cell r="F381">
            <v>7</v>
          </cell>
          <cell r="G381" t="b">
            <v>1</v>
          </cell>
          <cell r="N381">
            <v>4</v>
          </cell>
          <cell r="O381">
            <v>9</v>
          </cell>
          <cell r="P381">
            <v>13</v>
          </cell>
        </row>
        <row r="382">
          <cell r="F382">
            <v>8</v>
          </cell>
          <cell r="G382" t="b">
            <v>1</v>
          </cell>
          <cell r="N382">
            <v>3</v>
          </cell>
          <cell r="O382">
            <v>30</v>
          </cell>
          <cell r="P382">
            <v>33</v>
          </cell>
        </row>
        <row r="383">
          <cell r="F383">
            <v>9</v>
          </cell>
          <cell r="G383" t="b">
            <v>1</v>
          </cell>
          <cell r="N383">
            <v>8</v>
          </cell>
          <cell r="O383">
            <v>39</v>
          </cell>
          <cell r="P383">
            <v>47</v>
          </cell>
        </row>
        <row r="384">
          <cell r="F384">
            <v>10</v>
          </cell>
          <cell r="G384" t="b">
            <v>1</v>
          </cell>
          <cell r="N384">
            <v>7</v>
          </cell>
          <cell r="O384">
            <v>50</v>
          </cell>
          <cell r="P384">
            <v>57</v>
          </cell>
        </row>
        <row r="385">
          <cell r="F385">
            <v>11</v>
          </cell>
          <cell r="G385" t="b">
            <v>1</v>
          </cell>
          <cell r="N385">
            <v>9</v>
          </cell>
          <cell r="O385">
            <v>55</v>
          </cell>
          <cell r="P385">
            <v>64</v>
          </cell>
        </row>
        <row r="386">
          <cell r="F386">
            <v>12</v>
          </cell>
          <cell r="G386" t="b">
            <v>1</v>
          </cell>
          <cell r="N386">
            <v>10</v>
          </cell>
          <cell r="O386">
            <v>70</v>
          </cell>
          <cell r="P386">
            <v>80</v>
          </cell>
        </row>
        <row r="387">
          <cell r="F387">
            <v>13</v>
          </cell>
          <cell r="G387" t="b">
            <v>1</v>
          </cell>
          <cell r="N387">
            <v>13</v>
          </cell>
          <cell r="O387">
            <v>80</v>
          </cell>
          <cell r="P387">
            <v>93</v>
          </cell>
        </row>
        <row r="388">
          <cell r="F388">
            <v>14</v>
          </cell>
          <cell r="G388" t="b">
            <v>1</v>
          </cell>
          <cell r="N388">
            <v>12</v>
          </cell>
          <cell r="O388">
            <v>74</v>
          </cell>
          <cell r="P388">
            <v>86</v>
          </cell>
        </row>
        <row r="389">
          <cell r="F389">
            <v>15</v>
          </cell>
          <cell r="G389" t="b">
            <v>1</v>
          </cell>
          <cell r="N389">
            <v>21</v>
          </cell>
          <cell r="O389">
            <v>72</v>
          </cell>
          <cell r="P389">
            <v>93</v>
          </cell>
        </row>
        <row r="390">
          <cell r="F390">
            <v>16</v>
          </cell>
          <cell r="G390" t="b">
            <v>1</v>
          </cell>
          <cell r="N390">
            <v>6</v>
          </cell>
          <cell r="O390">
            <v>76</v>
          </cell>
          <cell r="P390">
            <v>82</v>
          </cell>
        </row>
        <row r="391">
          <cell r="F391">
            <v>17</v>
          </cell>
          <cell r="G391" t="b">
            <v>1</v>
          </cell>
          <cell r="N391">
            <v>4</v>
          </cell>
          <cell r="O391">
            <v>67</v>
          </cell>
          <cell r="P391">
            <v>71</v>
          </cell>
        </row>
        <row r="392">
          <cell r="F392">
            <v>18</v>
          </cell>
          <cell r="G392" t="b">
            <v>1</v>
          </cell>
          <cell r="N392">
            <v>7</v>
          </cell>
          <cell r="O392">
            <v>85</v>
          </cell>
          <cell r="P392">
            <v>92</v>
          </cell>
        </row>
        <row r="393">
          <cell r="F393">
            <v>19</v>
          </cell>
          <cell r="G393" t="b">
            <v>1</v>
          </cell>
          <cell r="N393">
            <v>2</v>
          </cell>
          <cell r="O393">
            <v>58</v>
          </cell>
          <cell r="P393">
            <v>60</v>
          </cell>
        </row>
        <row r="394">
          <cell r="F394">
            <v>20</v>
          </cell>
          <cell r="G394" t="b">
            <v>1</v>
          </cell>
          <cell r="N394">
            <v>4</v>
          </cell>
          <cell r="O394">
            <v>29</v>
          </cell>
          <cell r="P394">
            <v>33</v>
          </cell>
        </row>
        <row r="395">
          <cell r="F395">
            <v>21</v>
          </cell>
          <cell r="G395" t="b">
            <v>1</v>
          </cell>
          <cell r="N395">
            <v>3</v>
          </cell>
          <cell r="O395">
            <v>24</v>
          </cell>
          <cell r="P395">
            <v>27</v>
          </cell>
        </row>
        <row r="396">
          <cell r="F396">
            <v>22</v>
          </cell>
          <cell r="G396" t="b">
            <v>1</v>
          </cell>
          <cell r="N396">
            <v>0</v>
          </cell>
          <cell r="O396">
            <v>13</v>
          </cell>
          <cell r="P396">
            <v>13</v>
          </cell>
        </row>
        <row r="397">
          <cell r="F397">
            <v>23</v>
          </cell>
          <cell r="G397" t="b">
            <v>1</v>
          </cell>
          <cell r="N397">
            <v>1</v>
          </cell>
          <cell r="O397">
            <v>3</v>
          </cell>
          <cell r="P397">
            <v>4</v>
          </cell>
        </row>
        <row r="398">
          <cell r="F398">
            <v>12</v>
          </cell>
          <cell r="G398" t="b">
            <v>0</v>
          </cell>
          <cell r="N398">
            <v>0</v>
          </cell>
          <cell r="O398">
            <v>3</v>
          </cell>
          <cell r="P398">
            <v>3</v>
          </cell>
        </row>
        <row r="399">
          <cell r="F399">
            <v>13</v>
          </cell>
          <cell r="G399" t="b">
            <v>0</v>
          </cell>
          <cell r="N399">
            <v>0</v>
          </cell>
          <cell r="O399">
            <v>22</v>
          </cell>
          <cell r="P399">
            <v>22</v>
          </cell>
        </row>
        <row r="400">
          <cell r="F400">
            <v>14</v>
          </cell>
          <cell r="G400" t="b">
            <v>0</v>
          </cell>
          <cell r="N400">
            <v>2</v>
          </cell>
          <cell r="O400">
            <v>26</v>
          </cell>
          <cell r="P400">
            <v>28</v>
          </cell>
        </row>
        <row r="401">
          <cell r="F401">
            <v>15</v>
          </cell>
          <cell r="G401" t="b">
            <v>0</v>
          </cell>
          <cell r="N401">
            <v>3</v>
          </cell>
          <cell r="O401">
            <v>32</v>
          </cell>
          <cell r="P401">
            <v>35</v>
          </cell>
        </row>
        <row r="402">
          <cell r="F402">
            <v>16</v>
          </cell>
          <cell r="G402" t="b">
            <v>0</v>
          </cell>
          <cell r="N402">
            <v>0</v>
          </cell>
          <cell r="O402">
            <v>61</v>
          </cell>
          <cell r="P402">
            <v>61</v>
          </cell>
        </row>
        <row r="403">
          <cell r="F403">
            <v>17</v>
          </cell>
          <cell r="G403" t="b">
            <v>0</v>
          </cell>
          <cell r="N403">
            <v>1</v>
          </cell>
          <cell r="O403">
            <v>124</v>
          </cell>
          <cell r="P403">
            <v>125</v>
          </cell>
        </row>
        <row r="404">
          <cell r="F404">
            <v>18</v>
          </cell>
          <cell r="G404" t="b">
            <v>0</v>
          </cell>
          <cell r="N404">
            <v>1</v>
          </cell>
          <cell r="O404">
            <v>132</v>
          </cell>
          <cell r="P404">
            <v>133</v>
          </cell>
        </row>
        <row r="405">
          <cell r="F405">
            <v>19</v>
          </cell>
          <cell r="G405" t="b">
            <v>0</v>
          </cell>
          <cell r="N405">
            <v>1</v>
          </cell>
          <cell r="O405">
            <v>98</v>
          </cell>
          <cell r="P405">
            <v>99</v>
          </cell>
        </row>
        <row r="406">
          <cell r="F406">
            <v>20</v>
          </cell>
          <cell r="G406" t="b">
            <v>0</v>
          </cell>
          <cell r="N406">
            <v>0</v>
          </cell>
          <cell r="O406">
            <v>83</v>
          </cell>
          <cell r="P406">
            <v>83</v>
          </cell>
        </row>
        <row r="407">
          <cell r="F407">
            <v>21</v>
          </cell>
          <cell r="G407" t="b">
            <v>0</v>
          </cell>
          <cell r="N407">
            <v>0</v>
          </cell>
          <cell r="O407">
            <v>41</v>
          </cell>
          <cell r="P407">
            <v>41</v>
          </cell>
        </row>
        <row r="408">
          <cell r="F408">
            <v>22</v>
          </cell>
          <cell r="G408" t="b">
            <v>0</v>
          </cell>
          <cell r="N408">
            <v>0</v>
          </cell>
          <cell r="O408">
            <v>33</v>
          </cell>
          <cell r="P408">
            <v>33</v>
          </cell>
        </row>
        <row r="409">
          <cell r="F409">
            <v>23</v>
          </cell>
          <cell r="G409" t="b">
            <v>0</v>
          </cell>
          <cell r="N409">
            <v>1</v>
          </cell>
          <cell r="O409">
            <v>19</v>
          </cell>
          <cell r="P409">
            <v>20</v>
          </cell>
        </row>
        <row r="410">
          <cell r="F410">
            <v>0</v>
          </cell>
          <cell r="G410" t="b">
            <v>0</v>
          </cell>
          <cell r="N410">
            <v>0</v>
          </cell>
          <cell r="O410">
            <v>3</v>
          </cell>
          <cell r="P410">
            <v>3</v>
          </cell>
        </row>
        <row r="411">
          <cell r="F411">
            <v>1</v>
          </cell>
          <cell r="G411" t="b">
            <v>0</v>
          </cell>
          <cell r="N411">
            <v>1</v>
          </cell>
          <cell r="O411">
            <v>6</v>
          </cell>
          <cell r="P411">
            <v>7</v>
          </cell>
        </row>
        <row r="412">
          <cell r="F412">
            <v>2</v>
          </cell>
          <cell r="G412" t="b">
            <v>0</v>
          </cell>
          <cell r="N412">
            <v>0</v>
          </cell>
          <cell r="O412">
            <v>3</v>
          </cell>
          <cell r="P412">
            <v>3</v>
          </cell>
        </row>
        <row r="413">
          <cell r="F413">
            <v>4</v>
          </cell>
          <cell r="G413" t="b">
            <v>0</v>
          </cell>
          <cell r="N413">
            <v>1</v>
          </cell>
          <cell r="O413">
            <v>1</v>
          </cell>
          <cell r="P413">
            <v>2</v>
          </cell>
        </row>
        <row r="414">
          <cell r="F414">
            <v>5</v>
          </cell>
          <cell r="G414" t="b">
            <v>0</v>
          </cell>
          <cell r="N414">
            <v>0</v>
          </cell>
          <cell r="O414">
            <v>7</v>
          </cell>
          <cell r="P414">
            <v>7</v>
          </cell>
        </row>
        <row r="415">
          <cell r="F415">
            <v>6</v>
          </cell>
          <cell r="G415" t="b">
            <v>0</v>
          </cell>
          <cell r="N415">
            <v>0</v>
          </cell>
          <cell r="O415">
            <v>32</v>
          </cell>
          <cell r="P415">
            <v>32</v>
          </cell>
        </row>
        <row r="416">
          <cell r="F416">
            <v>7</v>
          </cell>
          <cell r="G416" t="b">
            <v>0</v>
          </cell>
          <cell r="N416">
            <v>1</v>
          </cell>
          <cell r="O416">
            <v>89</v>
          </cell>
          <cell r="P416">
            <v>90</v>
          </cell>
        </row>
        <row r="417">
          <cell r="F417">
            <v>8</v>
          </cell>
          <cell r="G417" t="b">
            <v>0</v>
          </cell>
          <cell r="N417">
            <v>1</v>
          </cell>
          <cell r="O417">
            <v>196</v>
          </cell>
          <cell r="P417">
            <v>197</v>
          </cell>
        </row>
        <row r="418">
          <cell r="F418">
            <v>9</v>
          </cell>
          <cell r="G418" t="b">
            <v>0</v>
          </cell>
          <cell r="N418">
            <v>2</v>
          </cell>
          <cell r="O418">
            <v>107</v>
          </cell>
          <cell r="P418">
            <v>109</v>
          </cell>
        </row>
        <row r="419">
          <cell r="F419">
            <v>10</v>
          </cell>
          <cell r="G419" t="b">
            <v>0</v>
          </cell>
          <cell r="N419">
            <v>1</v>
          </cell>
          <cell r="O419">
            <v>46</v>
          </cell>
          <cell r="P419">
            <v>47</v>
          </cell>
        </row>
        <row r="420">
          <cell r="F420">
            <v>11</v>
          </cell>
          <cell r="G420" t="b">
            <v>0</v>
          </cell>
          <cell r="N420">
            <v>5</v>
          </cell>
          <cell r="O420">
            <v>47</v>
          </cell>
          <cell r="P420">
            <v>52</v>
          </cell>
        </row>
        <row r="421">
          <cell r="F421">
            <v>12</v>
          </cell>
          <cell r="G421" t="b">
            <v>0</v>
          </cell>
          <cell r="N421">
            <v>5</v>
          </cell>
          <cell r="O421">
            <v>65</v>
          </cell>
          <cell r="P421">
            <v>70</v>
          </cell>
        </row>
        <row r="422">
          <cell r="F422">
            <v>13</v>
          </cell>
          <cell r="G422" t="b">
            <v>0</v>
          </cell>
          <cell r="N422">
            <v>11</v>
          </cell>
          <cell r="O422">
            <v>67</v>
          </cell>
          <cell r="P422">
            <v>78</v>
          </cell>
        </row>
        <row r="423">
          <cell r="F423">
            <v>14</v>
          </cell>
          <cell r="G423" t="b">
            <v>0</v>
          </cell>
          <cell r="N423">
            <v>7</v>
          </cell>
          <cell r="O423">
            <v>68</v>
          </cell>
          <cell r="P423">
            <v>75</v>
          </cell>
        </row>
        <row r="424">
          <cell r="F424">
            <v>15</v>
          </cell>
          <cell r="G424" t="b">
            <v>0</v>
          </cell>
          <cell r="N424">
            <v>4</v>
          </cell>
          <cell r="O424">
            <v>78</v>
          </cell>
          <cell r="P424">
            <v>82</v>
          </cell>
        </row>
        <row r="425">
          <cell r="F425">
            <v>16</v>
          </cell>
          <cell r="G425" t="b">
            <v>0</v>
          </cell>
          <cell r="N425">
            <v>10</v>
          </cell>
          <cell r="O425">
            <v>94</v>
          </cell>
          <cell r="P425">
            <v>104</v>
          </cell>
        </row>
        <row r="426">
          <cell r="F426">
            <v>17</v>
          </cell>
          <cell r="G426" t="b">
            <v>0</v>
          </cell>
          <cell r="N426">
            <v>7</v>
          </cell>
          <cell r="O426">
            <v>190</v>
          </cell>
          <cell r="P426">
            <v>197</v>
          </cell>
        </row>
        <row r="427">
          <cell r="F427">
            <v>18</v>
          </cell>
          <cell r="G427" t="b">
            <v>0</v>
          </cell>
          <cell r="N427">
            <v>5</v>
          </cell>
          <cell r="O427">
            <v>156</v>
          </cell>
          <cell r="P427">
            <v>161</v>
          </cell>
        </row>
        <row r="428">
          <cell r="F428">
            <v>19</v>
          </cell>
          <cell r="G428" t="b">
            <v>0</v>
          </cell>
          <cell r="N428">
            <v>4</v>
          </cell>
          <cell r="O428">
            <v>108</v>
          </cell>
          <cell r="P428">
            <v>112</v>
          </cell>
        </row>
        <row r="429">
          <cell r="F429">
            <v>20</v>
          </cell>
          <cell r="G429" t="b">
            <v>0</v>
          </cell>
          <cell r="N429">
            <v>2</v>
          </cell>
          <cell r="O429">
            <v>74</v>
          </cell>
          <cell r="P429">
            <v>76</v>
          </cell>
        </row>
        <row r="430">
          <cell r="F430">
            <v>21</v>
          </cell>
          <cell r="G430" t="b">
            <v>0</v>
          </cell>
          <cell r="N430">
            <v>4</v>
          </cell>
          <cell r="O430">
            <v>55</v>
          </cell>
          <cell r="P430">
            <v>59</v>
          </cell>
        </row>
        <row r="431">
          <cell r="F431">
            <v>22</v>
          </cell>
          <cell r="G431" t="b">
            <v>0</v>
          </cell>
          <cell r="N431">
            <v>6</v>
          </cell>
          <cell r="O431">
            <v>53</v>
          </cell>
          <cell r="P431">
            <v>59</v>
          </cell>
        </row>
        <row r="432">
          <cell r="F432">
            <v>23</v>
          </cell>
          <cell r="G432" t="b">
            <v>0</v>
          </cell>
          <cell r="N432">
            <v>1</v>
          </cell>
          <cell r="O432">
            <v>27</v>
          </cell>
          <cell r="P432">
            <v>28</v>
          </cell>
        </row>
        <row r="433">
          <cell r="F433">
            <v>0</v>
          </cell>
          <cell r="G433" t="b">
            <v>0</v>
          </cell>
          <cell r="N433">
            <v>5</v>
          </cell>
          <cell r="O433">
            <v>8</v>
          </cell>
          <cell r="P433">
            <v>13</v>
          </cell>
        </row>
        <row r="434">
          <cell r="F434">
            <v>1</v>
          </cell>
          <cell r="G434" t="b">
            <v>0</v>
          </cell>
          <cell r="N434">
            <v>2</v>
          </cell>
          <cell r="O434">
            <v>3</v>
          </cell>
          <cell r="P434">
            <v>5</v>
          </cell>
        </row>
        <row r="435">
          <cell r="F435">
            <v>2</v>
          </cell>
          <cell r="G435" t="b">
            <v>0</v>
          </cell>
          <cell r="N435">
            <v>0</v>
          </cell>
          <cell r="O435">
            <v>2</v>
          </cell>
          <cell r="P435">
            <v>2</v>
          </cell>
        </row>
        <row r="436">
          <cell r="F436">
            <v>3</v>
          </cell>
          <cell r="G436" t="b">
            <v>0</v>
          </cell>
          <cell r="N436">
            <v>0</v>
          </cell>
          <cell r="O436">
            <v>1</v>
          </cell>
          <cell r="P436">
            <v>1</v>
          </cell>
        </row>
        <row r="437">
          <cell r="F437">
            <v>4</v>
          </cell>
          <cell r="G437" t="b">
            <v>0</v>
          </cell>
          <cell r="N437">
            <v>0</v>
          </cell>
          <cell r="O437">
            <v>1</v>
          </cell>
          <cell r="P437">
            <v>1</v>
          </cell>
        </row>
        <row r="438">
          <cell r="F438">
            <v>5</v>
          </cell>
          <cell r="G438" t="b">
            <v>0</v>
          </cell>
          <cell r="N438">
            <v>0</v>
          </cell>
          <cell r="O438">
            <v>6</v>
          </cell>
          <cell r="P438">
            <v>6</v>
          </cell>
        </row>
        <row r="439">
          <cell r="F439">
            <v>6</v>
          </cell>
          <cell r="G439" t="b">
            <v>0</v>
          </cell>
          <cell r="N439">
            <v>0</v>
          </cell>
          <cell r="O439">
            <v>35</v>
          </cell>
          <cell r="P439">
            <v>35</v>
          </cell>
        </row>
        <row r="440">
          <cell r="F440">
            <v>7</v>
          </cell>
          <cell r="G440" t="b">
            <v>0</v>
          </cell>
          <cell r="N440">
            <v>1</v>
          </cell>
          <cell r="O440">
            <v>100</v>
          </cell>
          <cell r="P440">
            <v>101</v>
          </cell>
        </row>
        <row r="441">
          <cell r="F441">
            <v>8</v>
          </cell>
          <cell r="G441" t="b">
            <v>0</v>
          </cell>
          <cell r="N441">
            <v>2</v>
          </cell>
          <cell r="O441">
            <v>247</v>
          </cell>
          <cell r="P441">
            <v>249</v>
          </cell>
        </row>
        <row r="442">
          <cell r="F442">
            <v>9</v>
          </cell>
          <cell r="G442" t="b">
            <v>0</v>
          </cell>
          <cell r="N442">
            <v>3</v>
          </cell>
          <cell r="O442">
            <v>140</v>
          </cell>
          <cell r="P442">
            <v>143</v>
          </cell>
        </row>
        <row r="443">
          <cell r="F443">
            <v>10</v>
          </cell>
          <cell r="G443" t="b">
            <v>0</v>
          </cell>
          <cell r="N443">
            <v>1</v>
          </cell>
          <cell r="O443">
            <v>56</v>
          </cell>
          <cell r="P443">
            <v>57</v>
          </cell>
        </row>
        <row r="444">
          <cell r="F444">
            <v>11</v>
          </cell>
          <cell r="G444" t="b">
            <v>0</v>
          </cell>
          <cell r="N444">
            <v>5</v>
          </cell>
          <cell r="O444">
            <v>63</v>
          </cell>
          <cell r="P444">
            <v>68</v>
          </cell>
        </row>
        <row r="445">
          <cell r="F445">
            <v>12</v>
          </cell>
          <cell r="G445" t="b">
            <v>0</v>
          </cell>
          <cell r="N445">
            <v>7</v>
          </cell>
          <cell r="O445">
            <v>77</v>
          </cell>
          <cell r="P445">
            <v>84</v>
          </cell>
        </row>
        <row r="446">
          <cell r="F446">
            <v>13</v>
          </cell>
          <cell r="G446" t="b">
            <v>0</v>
          </cell>
          <cell r="N446">
            <v>12</v>
          </cell>
          <cell r="O446">
            <v>86</v>
          </cell>
          <cell r="P446">
            <v>98</v>
          </cell>
        </row>
        <row r="447">
          <cell r="F447">
            <v>14</v>
          </cell>
          <cell r="G447" t="b">
            <v>0</v>
          </cell>
          <cell r="N447">
            <v>6</v>
          </cell>
          <cell r="O447">
            <v>75</v>
          </cell>
          <cell r="P447">
            <v>81</v>
          </cell>
        </row>
        <row r="448">
          <cell r="F448">
            <v>15</v>
          </cell>
          <cell r="G448" t="b">
            <v>0</v>
          </cell>
          <cell r="N448">
            <v>8</v>
          </cell>
          <cell r="O448">
            <v>62</v>
          </cell>
          <cell r="P448">
            <v>70</v>
          </cell>
        </row>
        <row r="449">
          <cell r="F449">
            <v>16</v>
          </cell>
          <cell r="G449" t="b">
            <v>0</v>
          </cell>
          <cell r="N449">
            <v>8</v>
          </cell>
          <cell r="O449">
            <v>83</v>
          </cell>
          <cell r="P449">
            <v>91</v>
          </cell>
        </row>
        <row r="450">
          <cell r="F450">
            <v>17</v>
          </cell>
          <cell r="G450" t="b">
            <v>0</v>
          </cell>
          <cell r="N450">
            <v>8</v>
          </cell>
          <cell r="O450">
            <v>207</v>
          </cell>
          <cell r="P450">
            <v>215</v>
          </cell>
        </row>
        <row r="451">
          <cell r="F451">
            <v>18</v>
          </cell>
          <cell r="G451" t="b">
            <v>0</v>
          </cell>
          <cell r="N451">
            <v>1</v>
          </cell>
          <cell r="O451">
            <v>184</v>
          </cell>
          <cell r="P451">
            <v>185</v>
          </cell>
        </row>
        <row r="452">
          <cell r="F452">
            <v>19</v>
          </cell>
          <cell r="G452" t="b">
            <v>0</v>
          </cell>
          <cell r="N452">
            <v>6</v>
          </cell>
          <cell r="O452">
            <v>146</v>
          </cell>
          <cell r="P452">
            <v>152</v>
          </cell>
        </row>
        <row r="453">
          <cell r="F453">
            <v>20</v>
          </cell>
          <cell r="G453" t="b">
            <v>0</v>
          </cell>
          <cell r="N453">
            <v>2</v>
          </cell>
          <cell r="O453">
            <v>124</v>
          </cell>
          <cell r="P453">
            <v>126</v>
          </cell>
        </row>
        <row r="454">
          <cell r="F454">
            <v>21</v>
          </cell>
          <cell r="G454" t="b">
            <v>0</v>
          </cell>
          <cell r="N454">
            <v>3</v>
          </cell>
          <cell r="O454">
            <v>54</v>
          </cell>
          <cell r="P454">
            <v>57</v>
          </cell>
        </row>
        <row r="455">
          <cell r="F455">
            <v>22</v>
          </cell>
          <cell r="G455" t="b">
            <v>0</v>
          </cell>
          <cell r="N455">
            <v>0</v>
          </cell>
          <cell r="O455">
            <v>56</v>
          </cell>
          <cell r="P455">
            <v>56</v>
          </cell>
        </row>
        <row r="456">
          <cell r="F456">
            <v>23</v>
          </cell>
          <cell r="G456" t="b">
            <v>0</v>
          </cell>
          <cell r="N456">
            <v>3</v>
          </cell>
          <cell r="O456">
            <v>28</v>
          </cell>
          <cell r="P456">
            <v>31</v>
          </cell>
        </row>
        <row r="457">
          <cell r="F457">
            <v>0</v>
          </cell>
          <cell r="G457" t="b">
            <v>0</v>
          </cell>
          <cell r="N457">
            <v>1</v>
          </cell>
          <cell r="O457">
            <v>20</v>
          </cell>
          <cell r="P457">
            <v>21</v>
          </cell>
        </row>
        <row r="458">
          <cell r="F458">
            <v>1</v>
          </cell>
          <cell r="G458" t="b">
            <v>0</v>
          </cell>
          <cell r="N458">
            <v>0</v>
          </cell>
          <cell r="O458">
            <v>6</v>
          </cell>
          <cell r="P458">
            <v>6</v>
          </cell>
        </row>
        <row r="459">
          <cell r="F459">
            <v>2</v>
          </cell>
          <cell r="G459" t="b">
            <v>0</v>
          </cell>
          <cell r="N459">
            <v>0</v>
          </cell>
          <cell r="O459">
            <v>2</v>
          </cell>
          <cell r="P459">
            <v>2</v>
          </cell>
        </row>
        <row r="460">
          <cell r="F460">
            <v>3</v>
          </cell>
          <cell r="G460" t="b">
            <v>0</v>
          </cell>
          <cell r="N460">
            <v>0</v>
          </cell>
          <cell r="O460">
            <v>1</v>
          </cell>
          <cell r="P460">
            <v>1</v>
          </cell>
        </row>
        <row r="461">
          <cell r="F461">
            <v>4</v>
          </cell>
          <cell r="G461" t="b">
            <v>0</v>
          </cell>
          <cell r="N461">
            <v>0</v>
          </cell>
          <cell r="O461">
            <v>1</v>
          </cell>
          <cell r="P461">
            <v>1</v>
          </cell>
        </row>
        <row r="462">
          <cell r="F462">
            <v>5</v>
          </cell>
          <cell r="G462" t="b">
            <v>0</v>
          </cell>
          <cell r="N462">
            <v>1</v>
          </cell>
          <cell r="O462">
            <v>4</v>
          </cell>
          <cell r="P462">
            <v>5</v>
          </cell>
        </row>
        <row r="463">
          <cell r="F463">
            <v>6</v>
          </cell>
          <cell r="G463" t="b">
            <v>0</v>
          </cell>
          <cell r="N463">
            <v>0</v>
          </cell>
          <cell r="O463">
            <v>27</v>
          </cell>
          <cell r="P463">
            <v>27</v>
          </cell>
        </row>
        <row r="464">
          <cell r="F464">
            <v>7</v>
          </cell>
          <cell r="G464" t="b">
            <v>0</v>
          </cell>
          <cell r="N464">
            <v>2</v>
          </cell>
          <cell r="O464">
            <v>66</v>
          </cell>
          <cell r="P464">
            <v>68</v>
          </cell>
        </row>
        <row r="465">
          <cell r="F465">
            <v>8</v>
          </cell>
          <cell r="G465" t="b">
            <v>0</v>
          </cell>
          <cell r="N465">
            <v>7</v>
          </cell>
          <cell r="O465">
            <v>210</v>
          </cell>
          <cell r="P465">
            <v>217</v>
          </cell>
        </row>
        <row r="466">
          <cell r="F466">
            <v>9</v>
          </cell>
          <cell r="G466" t="b">
            <v>0</v>
          </cell>
          <cell r="N466">
            <v>7</v>
          </cell>
          <cell r="O466">
            <v>159</v>
          </cell>
          <cell r="P466">
            <v>166</v>
          </cell>
        </row>
        <row r="467">
          <cell r="F467">
            <v>10</v>
          </cell>
          <cell r="G467" t="b">
            <v>0</v>
          </cell>
          <cell r="N467">
            <v>6</v>
          </cell>
          <cell r="O467">
            <v>57</v>
          </cell>
          <cell r="P467">
            <v>63</v>
          </cell>
        </row>
        <row r="468">
          <cell r="F468">
            <v>11</v>
          </cell>
          <cell r="G468" t="b">
            <v>0</v>
          </cell>
          <cell r="N468">
            <v>6</v>
          </cell>
          <cell r="O468">
            <v>53</v>
          </cell>
          <cell r="P468">
            <v>59</v>
          </cell>
        </row>
        <row r="469">
          <cell r="F469">
            <v>12</v>
          </cell>
          <cell r="G469" t="b">
            <v>0</v>
          </cell>
          <cell r="N469">
            <v>11</v>
          </cell>
          <cell r="O469">
            <v>67</v>
          </cell>
          <cell r="P469">
            <v>78</v>
          </cell>
        </row>
        <row r="470">
          <cell r="F470">
            <v>13</v>
          </cell>
          <cell r="G470" t="b">
            <v>0</v>
          </cell>
          <cell r="N470">
            <v>8</v>
          </cell>
          <cell r="O470">
            <v>65</v>
          </cell>
          <cell r="P470">
            <v>73</v>
          </cell>
        </row>
        <row r="471">
          <cell r="F471">
            <v>14</v>
          </cell>
          <cell r="G471" t="b">
            <v>0</v>
          </cell>
          <cell r="N471">
            <v>6</v>
          </cell>
          <cell r="O471">
            <v>56</v>
          </cell>
          <cell r="P471">
            <v>62</v>
          </cell>
        </row>
        <row r="472">
          <cell r="F472">
            <v>15</v>
          </cell>
          <cell r="G472" t="b">
            <v>0</v>
          </cell>
          <cell r="N472">
            <v>4</v>
          </cell>
          <cell r="O472">
            <v>61</v>
          </cell>
          <cell r="P472">
            <v>65</v>
          </cell>
        </row>
        <row r="473">
          <cell r="F473">
            <v>16</v>
          </cell>
          <cell r="G473" t="b">
            <v>0</v>
          </cell>
          <cell r="N473">
            <v>0</v>
          </cell>
          <cell r="O473">
            <v>97</v>
          </cell>
          <cell r="P473">
            <v>97</v>
          </cell>
        </row>
        <row r="474">
          <cell r="F474">
            <v>17</v>
          </cell>
          <cell r="G474" t="b">
            <v>0</v>
          </cell>
          <cell r="N474">
            <v>10</v>
          </cell>
          <cell r="O474">
            <v>151</v>
          </cell>
          <cell r="P474">
            <v>161</v>
          </cell>
        </row>
        <row r="475">
          <cell r="F475">
            <v>18</v>
          </cell>
          <cell r="G475" t="b">
            <v>0</v>
          </cell>
          <cell r="N475">
            <v>1</v>
          </cell>
          <cell r="O475">
            <v>119</v>
          </cell>
          <cell r="P475">
            <v>120</v>
          </cell>
        </row>
        <row r="476">
          <cell r="F476">
            <v>19</v>
          </cell>
          <cell r="G476" t="b">
            <v>0</v>
          </cell>
          <cell r="N476">
            <v>3</v>
          </cell>
          <cell r="O476">
            <v>93</v>
          </cell>
          <cell r="P476">
            <v>96</v>
          </cell>
        </row>
        <row r="477">
          <cell r="F477">
            <v>20</v>
          </cell>
          <cell r="G477" t="b">
            <v>0</v>
          </cell>
          <cell r="N477">
            <v>1</v>
          </cell>
          <cell r="O477">
            <v>52</v>
          </cell>
          <cell r="P477">
            <v>53</v>
          </cell>
        </row>
        <row r="478">
          <cell r="F478">
            <v>21</v>
          </cell>
          <cell r="G478" t="b">
            <v>0</v>
          </cell>
          <cell r="N478">
            <v>0</v>
          </cell>
          <cell r="O478">
            <v>41</v>
          </cell>
          <cell r="P478">
            <v>41</v>
          </cell>
        </row>
        <row r="479">
          <cell r="F479">
            <v>22</v>
          </cell>
          <cell r="G479" t="b">
            <v>0</v>
          </cell>
          <cell r="N479">
            <v>1</v>
          </cell>
          <cell r="O479">
            <v>33</v>
          </cell>
          <cell r="P479">
            <v>34</v>
          </cell>
        </row>
        <row r="480">
          <cell r="F480">
            <v>23</v>
          </cell>
          <cell r="G480" t="b">
            <v>0</v>
          </cell>
          <cell r="N480">
            <v>0</v>
          </cell>
          <cell r="O480">
            <v>27</v>
          </cell>
          <cell r="P480">
            <v>27</v>
          </cell>
        </row>
        <row r="481">
          <cell r="F481">
            <v>0</v>
          </cell>
          <cell r="G481" t="b">
            <v>0</v>
          </cell>
          <cell r="N481">
            <v>0</v>
          </cell>
          <cell r="O481">
            <v>13</v>
          </cell>
          <cell r="P481">
            <v>13</v>
          </cell>
        </row>
        <row r="482">
          <cell r="F482">
            <v>1</v>
          </cell>
          <cell r="G482" t="b">
            <v>0</v>
          </cell>
          <cell r="N482">
            <v>3</v>
          </cell>
          <cell r="O482">
            <v>9</v>
          </cell>
          <cell r="P482">
            <v>12</v>
          </cell>
        </row>
        <row r="483">
          <cell r="F483">
            <v>2</v>
          </cell>
          <cell r="G483" t="b">
            <v>0</v>
          </cell>
          <cell r="N483">
            <v>0</v>
          </cell>
          <cell r="O483">
            <v>11</v>
          </cell>
          <cell r="P483">
            <v>11</v>
          </cell>
        </row>
        <row r="484">
          <cell r="F484">
            <v>3</v>
          </cell>
          <cell r="G484" t="b">
            <v>0</v>
          </cell>
          <cell r="N484">
            <v>1</v>
          </cell>
          <cell r="O484">
            <v>6</v>
          </cell>
          <cell r="P484">
            <v>7</v>
          </cell>
        </row>
        <row r="485">
          <cell r="F485">
            <v>4</v>
          </cell>
          <cell r="G485" t="b">
            <v>0</v>
          </cell>
          <cell r="N485">
            <v>0</v>
          </cell>
          <cell r="O485">
            <v>3</v>
          </cell>
          <cell r="P485">
            <v>3</v>
          </cell>
        </row>
        <row r="486">
          <cell r="F486">
            <v>6</v>
          </cell>
          <cell r="G486" t="b">
            <v>0</v>
          </cell>
          <cell r="N486">
            <v>0</v>
          </cell>
          <cell r="O486">
            <v>2</v>
          </cell>
          <cell r="P486">
            <v>2</v>
          </cell>
        </row>
        <row r="487">
          <cell r="F487">
            <v>7</v>
          </cell>
          <cell r="G487" t="b">
            <v>0</v>
          </cell>
          <cell r="N487">
            <v>0</v>
          </cell>
          <cell r="O487">
            <v>8</v>
          </cell>
          <cell r="P487">
            <v>8</v>
          </cell>
        </row>
        <row r="488">
          <cell r="F488">
            <v>8</v>
          </cell>
          <cell r="G488" t="b">
            <v>0</v>
          </cell>
          <cell r="N488">
            <v>1</v>
          </cell>
          <cell r="O488">
            <v>26</v>
          </cell>
          <cell r="P488">
            <v>27</v>
          </cell>
        </row>
        <row r="489">
          <cell r="F489">
            <v>9</v>
          </cell>
          <cell r="G489" t="b">
            <v>0</v>
          </cell>
          <cell r="N489">
            <v>3</v>
          </cell>
          <cell r="O489">
            <v>37</v>
          </cell>
          <cell r="P489">
            <v>40</v>
          </cell>
        </row>
        <row r="490">
          <cell r="F490">
            <v>10</v>
          </cell>
          <cell r="G490" t="b">
            <v>0</v>
          </cell>
          <cell r="N490">
            <v>3</v>
          </cell>
          <cell r="O490">
            <v>50</v>
          </cell>
          <cell r="P490">
            <v>53</v>
          </cell>
        </row>
        <row r="491">
          <cell r="F491">
            <v>11</v>
          </cell>
          <cell r="G491" t="b">
            <v>0</v>
          </cell>
          <cell r="N491">
            <v>4</v>
          </cell>
          <cell r="O491">
            <v>59</v>
          </cell>
          <cell r="P491">
            <v>63</v>
          </cell>
        </row>
        <row r="492">
          <cell r="F492">
            <v>12</v>
          </cell>
          <cell r="G492" t="b">
            <v>0</v>
          </cell>
          <cell r="N492">
            <v>10</v>
          </cell>
          <cell r="O492">
            <v>60</v>
          </cell>
          <cell r="P492">
            <v>70</v>
          </cell>
        </row>
        <row r="493">
          <cell r="F493">
            <v>13</v>
          </cell>
          <cell r="G493" t="b">
            <v>0</v>
          </cell>
          <cell r="N493">
            <v>12</v>
          </cell>
          <cell r="O493">
            <v>72</v>
          </cell>
          <cell r="P493">
            <v>84</v>
          </cell>
        </row>
        <row r="494">
          <cell r="F494">
            <v>14</v>
          </cell>
          <cell r="G494" t="b">
            <v>0</v>
          </cell>
          <cell r="N494">
            <v>11</v>
          </cell>
          <cell r="O494">
            <v>64</v>
          </cell>
          <cell r="P494">
            <v>75</v>
          </cell>
        </row>
        <row r="495">
          <cell r="F495">
            <v>15</v>
          </cell>
          <cell r="G495" t="b">
            <v>0</v>
          </cell>
          <cell r="N495">
            <v>10</v>
          </cell>
          <cell r="O495">
            <v>93</v>
          </cell>
          <cell r="P495">
            <v>103</v>
          </cell>
        </row>
        <row r="496">
          <cell r="F496">
            <v>16</v>
          </cell>
          <cell r="G496" t="b">
            <v>0</v>
          </cell>
          <cell r="N496">
            <v>11</v>
          </cell>
          <cell r="O496">
            <v>72</v>
          </cell>
          <cell r="P496">
            <v>83</v>
          </cell>
        </row>
        <row r="497">
          <cell r="F497">
            <v>17</v>
          </cell>
          <cell r="G497" t="b">
            <v>0</v>
          </cell>
          <cell r="N497">
            <v>8</v>
          </cell>
          <cell r="O497">
            <v>59</v>
          </cell>
          <cell r="P497">
            <v>67</v>
          </cell>
        </row>
        <row r="498">
          <cell r="F498">
            <v>18</v>
          </cell>
          <cell r="G498" t="b">
            <v>0</v>
          </cell>
          <cell r="N498">
            <v>0</v>
          </cell>
          <cell r="O498">
            <v>54</v>
          </cell>
          <cell r="P498">
            <v>54</v>
          </cell>
        </row>
        <row r="499">
          <cell r="F499">
            <v>19</v>
          </cell>
          <cell r="G499" t="b">
            <v>0</v>
          </cell>
          <cell r="N499">
            <v>6</v>
          </cell>
          <cell r="O499">
            <v>53</v>
          </cell>
          <cell r="P499">
            <v>59</v>
          </cell>
        </row>
        <row r="500">
          <cell r="F500">
            <v>20</v>
          </cell>
          <cell r="G500" t="b">
            <v>0</v>
          </cell>
          <cell r="N500">
            <v>1</v>
          </cell>
          <cell r="O500">
            <v>44</v>
          </cell>
          <cell r="P500">
            <v>45</v>
          </cell>
        </row>
        <row r="501">
          <cell r="F501">
            <v>21</v>
          </cell>
          <cell r="G501" t="b">
            <v>0</v>
          </cell>
          <cell r="N501">
            <v>0</v>
          </cell>
          <cell r="O501">
            <v>39</v>
          </cell>
          <cell r="P501">
            <v>39</v>
          </cell>
        </row>
        <row r="502">
          <cell r="F502">
            <v>22</v>
          </cell>
          <cell r="G502" t="b">
            <v>0</v>
          </cell>
          <cell r="N502">
            <v>7</v>
          </cell>
          <cell r="O502">
            <v>23</v>
          </cell>
          <cell r="P502">
            <v>30</v>
          </cell>
        </row>
        <row r="503">
          <cell r="F503">
            <v>23</v>
          </cell>
          <cell r="G503" t="b">
            <v>0</v>
          </cell>
          <cell r="N503">
            <v>2</v>
          </cell>
          <cell r="O503">
            <v>31</v>
          </cell>
          <cell r="P503">
            <v>33</v>
          </cell>
        </row>
        <row r="504">
          <cell r="F504">
            <v>0</v>
          </cell>
          <cell r="G504" t="b">
            <v>0</v>
          </cell>
          <cell r="N504">
            <v>2</v>
          </cell>
          <cell r="O504">
            <v>20</v>
          </cell>
          <cell r="P504">
            <v>22</v>
          </cell>
        </row>
        <row r="505">
          <cell r="F505">
            <v>1</v>
          </cell>
          <cell r="G505" t="b">
            <v>0</v>
          </cell>
          <cell r="N505">
            <v>1</v>
          </cell>
          <cell r="O505">
            <v>12</v>
          </cell>
          <cell r="P505">
            <v>13</v>
          </cell>
        </row>
        <row r="506">
          <cell r="F506">
            <v>2</v>
          </cell>
          <cell r="G506" t="b">
            <v>0</v>
          </cell>
          <cell r="N506">
            <v>3</v>
          </cell>
          <cell r="O506">
            <v>15</v>
          </cell>
          <cell r="P506">
            <v>18</v>
          </cell>
        </row>
        <row r="507">
          <cell r="F507">
            <v>3</v>
          </cell>
          <cell r="G507" t="b">
            <v>0</v>
          </cell>
          <cell r="N507">
            <v>1</v>
          </cell>
          <cell r="O507">
            <v>4</v>
          </cell>
          <cell r="P507">
            <v>5</v>
          </cell>
        </row>
        <row r="508">
          <cell r="F508">
            <v>5</v>
          </cell>
          <cell r="G508" t="b">
            <v>0</v>
          </cell>
          <cell r="N508">
            <v>0</v>
          </cell>
          <cell r="O508">
            <v>3</v>
          </cell>
          <cell r="P508">
            <v>3</v>
          </cell>
        </row>
        <row r="509">
          <cell r="F509">
            <v>6</v>
          </cell>
          <cell r="G509" t="b">
            <v>0</v>
          </cell>
          <cell r="N509">
            <v>0</v>
          </cell>
          <cell r="O509">
            <v>1</v>
          </cell>
          <cell r="P509">
            <v>1</v>
          </cell>
        </row>
        <row r="510">
          <cell r="F510">
            <v>7</v>
          </cell>
          <cell r="G510" t="b">
            <v>0</v>
          </cell>
          <cell r="N510">
            <v>1</v>
          </cell>
          <cell r="O510">
            <v>1</v>
          </cell>
          <cell r="P510">
            <v>2</v>
          </cell>
        </row>
        <row r="511">
          <cell r="F511">
            <v>8</v>
          </cell>
          <cell r="G511" t="b">
            <v>0</v>
          </cell>
          <cell r="N511">
            <v>2</v>
          </cell>
          <cell r="O511">
            <v>17</v>
          </cell>
          <cell r="P511">
            <v>19</v>
          </cell>
        </row>
        <row r="512">
          <cell r="F512">
            <v>9</v>
          </cell>
          <cell r="G512" t="b">
            <v>0</v>
          </cell>
          <cell r="N512">
            <v>3</v>
          </cell>
          <cell r="O512">
            <v>25</v>
          </cell>
          <cell r="P512">
            <v>28</v>
          </cell>
        </row>
        <row r="513">
          <cell r="F513">
            <v>10</v>
          </cell>
          <cell r="G513" t="b">
            <v>0</v>
          </cell>
          <cell r="N513">
            <v>7</v>
          </cell>
          <cell r="O513">
            <v>51</v>
          </cell>
          <cell r="P513">
            <v>58</v>
          </cell>
        </row>
        <row r="514">
          <cell r="F514">
            <v>11</v>
          </cell>
          <cell r="G514" t="b">
            <v>0</v>
          </cell>
          <cell r="N514">
            <v>22</v>
          </cell>
          <cell r="O514">
            <v>77</v>
          </cell>
          <cell r="P514">
            <v>99</v>
          </cell>
        </row>
        <row r="515">
          <cell r="F515">
            <v>12</v>
          </cell>
          <cell r="G515" t="b">
            <v>0</v>
          </cell>
          <cell r="N515">
            <v>24</v>
          </cell>
          <cell r="O515">
            <v>92</v>
          </cell>
          <cell r="P515">
            <v>116</v>
          </cell>
        </row>
        <row r="516">
          <cell r="F516">
            <v>13</v>
          </cell>
          <cell r="G516" t="b">
            <v>0</v>
          </cell>
          <cell r="N516">
            <v>12</v>
          </cell>
          <cell r="O516">
            <v>75</v>
          </cell>
          <cell r="P516">
            <v>87</v>
          </cell>
        </row>
        <row r="517">
          <cell r="F517">
            <v>14</v>
          </cell>
          <cell r="G517" t="b">
            <v>0</v>
          </cell>
          <cell r="N517">
            <v>17</v>
          </cell>
          <cell r="O517">
            <v>93</v>
          </cell>
          <cell r="P517">
            <v>110</v>
          </cell>
        </row>
        <row r="518">
          <cell r="F518">
            <v>15</v>
          </cell>
          <cell r="G518" t="b">
            <v>0</v>
          </cell>
          <cell r="N518">
            <v>13</v>
          </cell>
          <cell r="O518">
            <v>64</v>
          </cell>
          <cell r="P518">
            <v>77</v>
          </cell>
        </row>
        <row r="519">
          <cell r="F519">
            <v>16</v>
          </cell>
          <cell r="G519" t="b">
            <v>0</v>
          </cell>
          <cell r="N519">
            <v>9</v>
          </cell>
          <cell r="O519">
            <v>56</v>
          </cell>
          <cell r="P519">
            <v>65</v>
          </cell>
        </row>
        <row r="520">
          <cell r="F520">
            <v>17</v>
          </cell>
          <cell r="G520" t="b">
            <v>0</v>
          </cell>
          <cell r="N520">
            <v>5</v>
          </cell>
          <cell r="O520">
            <v>50</v>
          </cell>
          <cell r="P520">
            <v>55</v>
          </cell>
        </row>
        <row r="521">
          <cell r="F521">
            <v>18</v>
          </cell>
          <cell r="G521" t="b">
            <v>0</v>
          </cell>
          <cell r="N521">
            <v>5</v>
          </cell>
          <cell r="O521">
            <v>44</v>
          </cell>
          <cell r="P521">
            <v>49</v>
          </cell>
        </row>
        <row r="522">
          <cell r="F522">
            <v>19</v>
          </cell>
          <cell r="G522" t="b">
            <v>0</v>
          </cell>
          <cell r="N522">
            <v>5</v>
          </cell>
          <cell r="O522">
            <v>45</v>
          </cell>
          <cell r="P522">
            <v>50</v>
          </cell>
        </row>
        <row r="523">
          <cell r="F523">
            <v>20</v>
          </cell>
          <cell r="G523" t="b">
            <v>0</v>
          </cell>
          <cell r="N523">
            <v>4</v>
          </cell>
          <cell r="O523">
            <v>31</v>
          </cell>
          <cell r="P523">
            <v>35</v>
          </cell>
        </row>
        <row r="524">
          <cell r="F524">
            <v>21</v>
          </cell>
          <cell r="G524" t="b">
            <v>0</v>
          </cell>
          <cell r="N524">
            <v>5</v>
          </cell>
          <cell r="O524">
            <v>20</v>
          </cell>
          <cell r="P524">
            <v>25</v>
          </cell>
        </row>
        <row r="525">
          <cell r="F525">
            <v>22</v>
          </cell>
          <cell r="G525" t="b">
            <v>0</v>
          </cell>
          <cell r="N525">
            <v>5</v>
          </cell>
          <cell r="O525">
            <v>23</v>
          </cell>
          <cell r="P525">
            <v>28</v>
          </cell>
        </row>
        <row r="526">
          <cell r="F526">
            <v>23</v>
          </cell>
          <cell r="G526" t="b">
            <v>0</v>
          </cell>
          <cell r="N526">
            <v>4</v>
          </cell>
          <cell r="O526">
            <v>17</v>
          </cell>
          <cell r="P526">
            <v>21</v>
          </cell>
        </row>
        <row r="527">
          <cell r="F527">
            <v>0</v>
          </cell>
          <cell r="G527" t="b">
            <v>0</v>
          </cell>
          <cell r="N527">
            <v>0</v>
          </cell>
          <cell r="O527">
            <v>7</v>
          </cell>
          <cell r="P527">
            <v>7</v>
          </cell>
        </row>
        <row r="528">
          <cell r="F528">
            <v>1</v>
          </cell>
          <cell r="G528" t="b">
            <v>0</v>
          </cell>
          <cell r="N528">
            <v>0</v>
          </cell>
          <cell r="O528">
            <v>1</v>
          </cell>
          <cell r="P528">
            <v>1</v>
          </cell>
        </row>
        <row r="529">
          <cell r="F529">
            <v>3</v>
          </cell>
          <cell r="G529" t="b">
            <v>0</v>
          </cell>
          <cell r="N529">
            <v>0</v>
          </cell>
          <cell r="O529">
            <v>1</v>
          </cell>
          <cell r="P529">
            <v>1</v>
          </cell>
        </row>
        <row r="530">
          <cell r="F530">
            <v>4</v>
          </cell>
          <cell r="G530" t="b">
            <v>0</v>
          </cell>
          <cell r="N530">
            <v>0</v>
          </cell>
          <cell r="O530">
            <v>1</v>
          </cell>
          <cell r="P530">
            <v>1</v>
          </cell>
        </row>
        <row r="531">
          <cell r="F531">
            <v>5</v>
          </cell>
          <cell r="G531" t="b">
            <v>0</v>
          </cell>
          <cell r="N531">
            <v>0</v>
          </cell>
          <cell r="O531">
            <v>5</v>
          </cell>
          <cell r="P531">
            <v>5</v>
          </cell>
        </row>
        <row r="532">
          <cell r="F532">
            <v>6</v>
          </cell>
          <cell r="G532" t="b">
            <v>0</v>
          </cell>
          <cell r="N532">
            <v>0</v>
          </cell>
          <cell r="O532">
            <v>15</v>
          </cell>
          <cell r="P532">
            <v>15</v>
          </cell>
        </row>
        <row r="533">
          <cell r="F533">
            <v>7</v>
          </cell>
          <cell r="G533" t="b">
            <v>0</v>
          </cell>
          <cell r="N533">
            <v>5</v>
          </cell>
          <cell r="O533">
            <v>79</v>
          </cell>
          <cell r="P533">
            <v>84</v>
          </cell>
        </row>
        <row r="534">
          <cell r="F534">
            <v>8</v>
          </cell>
          <cell r="G534" t="b">
            <v>0</v>
          </cell>
          <cell r="N534">
            <v>6</v>
          </cell>
          <cell r="O534">
            <v>171</v>
          </cell>
          <cell r="P534">
            <v>177</v>
          </cell>
        </row>
        <row r="535">
          <cell r="F535">
            <v>9</v>
          </cell>
          <cell r="G535" t="b">
            <v>0</v>
          </cell>
          <cell r="N535">
            <v>4</v>
          </cell>
          <cell r="O535">
            <v>98</v>
          </cell>
          <cell r="P535">
            <v>102</v>
          </cell>
        </row>
        <row r="536">
          <cell r="F536">
            <v>10</v>
          </cell>
          <cell r="G536" t="b">
            <v>0</v>
          </cell>
          <cell r="N536">
            <v>6</v>
          </cell>
          <cell r="O536">
            <v>34</v>
          </cell>
          <cell r="P536">
            <v>40</v>
          </cell>
        </row>
        <row r="537">
          <cell r="F537">
            <v>11</v>
          </cell>
          <cell r="G537" t="b">
            <v>0</v>
          </cell>
          <cell r="N537">
            <v>3</v>
          </cell>
          <cell r="O537">
            <v>43</v>
          </cell>
          <cell r="P537">
            <v>46</v>
          </cell>
        </row>
        <row r="538">
          <cell r="F538">
            <v>12</v>
          </cell>
          <cell r="G538" t="b">
            <v>0</v>
          </cell>
          <cell r="N538">
            <v>11</v>
          </cell>
          <cell r="O538">
            <v>52</v>
          </cell>
          <cell r="P538">
            <v>63</v>
          </cell>
        </row>
        <row r="539">
          <cell r="F539">
            <v>13</v>
          </cell>
          <cell r="G539" t="b">
            <v>0</v>
          </cell>
          <cell r="N539">
            <v>6</v>
          </cell>
          <cell r="O539">
            <v>54</v>
          </cell>
          <cell r="P539">
            <v>60</v>
          </cell>
        </row>
        <row r="540">
          <cell r="F540">
            <v>14</v>
          </cell>
          <cell r="G540" t="b">
            <v>0</v>
          </cell>
          <cell r="N540">
            <v>2</v>
          </cell>
          <cell r="O540">
            <v>43</v>
          </cell>
          <cell r="P540">
            <v>45</v>
          </cell>
        </row>
        <row r="541">
          <cell r="F541">
            <v>15</v>
          </cell>
          <cell r="G541" t="b">
            <v>0</v>
          </cell>
          <cell r="N541">
            <v>7</v>
          </cell>
          <cell r="O541">
            <v>50</v>
          </cell>
          <cell r="P541">
            <v>57</v>
          </cell>
        </row>
        <row r="542">
          <cell r="F542">
            <v>16</v>
          </cell>
          <cell r="G542" t="b">
            <v>0</v>
          </cell>
          <cell r="N542">
            <v>4</v>
          </cell>
          <cell r="O542">
            <v>66</v>
          </cell>
          <cell r="P542">
            <v>70</v>
          </cell>
        </row>
        <row r="543">
          <cell r="F543">
            <v>17</v>
          </cell>
          <cell r="G543" t="b">
            <v>0</v>
          </cell>
          <cell r="N543">
            <v>6</v>
          </cell>
          <cell r="O543">
            <v>178</v>
          </cell>
          <cell r="P543">
            <v>184</v>
          </cell>
        </row>
        <row r="544">
          <cell r="F544">
            <v>18</v>
          </cell>
          <cell r="G544" t="b">
            <v>0</v>
          </cell>
          <cell r="N544">
            <v>8</v>
          </cell>
          <cell r="O544">
            <v>145</v>
          </cell>
          <cell r="P544">
            <v>153</v>
          </cell>
        </row>
        <row r="545">
          <cell r="F545">
            <v>19</v>
          </cell>
          <cell r="G545" t="b">
            <v>0</v>
          </cell>
          <cell r="N545">
            <v>5</v>
          </cell>
          <cell r="O545">
            <v>101</v>
          </cell>
          <cell r="P545">
            <v>106</v>
          </cell>
        </row>
        <row r="546">
          <cell r="F546">
            <v>20</v>
          </cell>
          <cell r="G546" t="b">
            <v>0</v>
          </cell>
          <cell r="N546">
            <v>1</v>
          </cell>
          <cell r="O546">
            <v>80</v>
          </cell>
          <cell r="P546">
            <v>81</v>
          </cell>
        </row>
        <row r="547">
          <cell r="F547">
            <v>21</v>
          </cell>
          <cell r="G547" t="b">
            <v>0</v>
          </cell>
          <cell r="N547">
            <v>6</v>
          </cell>
          <cell r="O547">
            <v>53</v>
          </cell>
          <cell r="P547">
            <v>59</v>
          </cell>
        </row>
        <row r="548">
          <cell r="F548">
            <v>22</v>
          </cell>
          <cell r="G548" t="b">
            <v>0</v>
          </cell>
          <cell r="N548">
            <v>3</v>
          </cell>
          <cell r="O548">
            <v>32</v>
          </cell>
          <cell r="P548">
            <v>35</v>
          </cell>
        </row>
        <row r="549">
          <cell r="F549">
            <v>23</v>
          </cell>
          <cell r="G549" t="b">
            <v>0</v>
          </cell>
          <cell r="N549">
            <v>3</v>
          </cell>
          <cell r="O549">
            <v>21</v>
          </cell>
          <cell r="P549">
            <v>24</v>
          </cell>
        </row>
        <row r="550">
          <cell r="F550">
            <v>0</v>
          </cell>
          <cell r="G550" t="b">
            <v>0</v>
          </cell>
          <cell r="N550">
            <v>3</v>
          </cell>
          <cell r="O550">
            <v>6</v>
          </cell>
          <cell r="P550">
            <v>9</v>
          </cell>
        </row>
        <row r="551">
          <cell r="F551">
            <v>1</v>
          </cell>
          <cell r="G551" t="b">
            <v>0</v>
          </cell>
          <cell r="N551">
            <v>0</v>
          </cell>
          <cell r="O551">
            <v>5</v>
          </cell>
          <cell r="P551">
            <v>5</v>
          </cell>
        </row>
        <row r="552">
          <cell r="F552">
            <v>2</v>
          </cell>
          <cell r="G552" t="b">
            <v>0</v>
          </cell>
          <cell r="N552">
            <v>0</v>
          </cell>
          <cell r="O552">
            <v>2</v>
          </cell>
          <cell r="P552">
            <v>2</v>
          </cell>
        </row>
        <row r="553">
          <cell r="F553">
            <v>4</v>
          </cell>
          <cell r="G553" t="b">
            <v>0</v>
          </cell>
          <cell r="N553">
            <v>0</v>
          </cell>
          <cell r="O553">
            <v>1</v>
          </cell>
          <cell r="P553">
            <v>1</v>
          </cell>
        </row>
        <row r="554">
          <cell r="F554">
            <v>5</v>
          </cell>
          <cell r="G554" t="b">
            <v>0</v>
          </cell>
          <cell r="N554">
            <v>0</v>
          </cell>
          <cell r="O554">
            <v>9</v>
          </cell>
          <cell r="P554">
            <v>9</v>
          </cell>
        </row>
        <row r="555">
          <cell r="F555">
            <v>6</v>
          </cell>
          <cell r="G555" t="b">
            <v>0</v>
          </cell>
          <cell r="N555">
            <v>1</v>
          </cell>
          <cell r="O555">
            <v>35</v>
          </cell>
          <cell r="P555">
            <v>36</v>
          </cell>
        </row>
        <row r="556">
          <cell r="F556">
            <v>7</v>
          </cell>
          <cell r="G556" t="b">
            <v>0</v>
          </cell>
          <cell r="N556">
            <v>5</v>
          </cell>
          <cell r="O556">
            <v>103</v>
          </cell>
          <cell r="P556">
            <v>108</v>
          </cell>
        </row>
        <row r="557">
          <cell r="F557">
            <v>8</v>
          </cell>
          <cell r="G557" t="b">
            <v>0</v>
          </cell>
          <cell r="N557">
            <v>5</v>
          </cell>
          <cell r="O557">
            <v>233</v>
          </cell>
          <cell r="P557">
            <v>238</v>
          </cell>
        </row>
        <row r="558">
          <cell r="F558">
            <v>9</v>
          </cell>
          <cell r="G558" t="b">
            <v>0</v>
          </cell>
          <cell r="N558">
            <v>10</v>
          </cell>
          <cell r="O558">
            <v>134</v>
          </cell>
          <cell r="P558">
            <v>144</v>
          </cell>
        </row>
        <row r="559">
          <cell r="F559">
            <v>10</v>
          </cell>
          <cell r="G559" t="b">
            <v>0</v>
          </cell>
          <cell r="N559">
            <v>6</v>
          </cell>
          <cell r="O559">
            <v>49</v>
          </cell>
          <cell r="P559">
            <v>55</v>
          </cell>
        </row>
        <row r="560">
          <cell r="F560">
            <v>11</v>
          </cell>
          <cell r="G560" t="b">
            <v>0</v>
          </cell>
          <cell r="N560">
            <v>6</v>
          </cell>
          <cell r="O560">
            <v>55</v>
          </cell>
          <cell r="P560">
            <v>61</v>
          </cell>
        </row>
        <row r="561">
          <cell r="F561">
            <v>12</v>
          </cell>
          <cell r="G561" t="b">
            <v>0</v>
          </cell>
          <cell r="N561">
            <v>21</v>
          </cell>
          <cell r="O561">
            <v>85</v>
          </cell>
          <cell r="P561">
            <v>106</v>
          </cell>
        </row>
        <row r="562">
          <cell r="F562">
            <v>13</v>
          </cell>
          <cell r="G562" t="b">
            <v>0</v>
          </cell>
          <cell r="N562">
            <v>21</v>
          </cell>
          <cell r="O562">
            <v>72</v>
          </cell>
          <cell r="P562">
            <v>93</v>
          </cell>
        </row>
        <row r="563">
          <cell r="F563">
            <v>14</v>
          </cell>
          <cell r="G563" t="b">
            <v>0</v>
          </cell>
          <cell r="N563">
            <v>11</v>
          </cell>
          <cell r="O563">
            <v>57</v>
          </cell>
          <cell r="P563">
            <v>68</v>
          </cell>
        </row>
        <row r="564">
          <cell r="F564">
            <v>15</v>
          </cell>
          <cell r="G564" t="b">
            <v>0</v>
          </cell>
          <cell r="N564">
            <v>21</v>
          </cell>
          <cell r="O564">
            <v>63</v>
          </cell>
          <cell r="P564">
            <v>84</v>
          </cell>
        </row>
        <row r="565">
          <cell r="F565">
            <v>16</v>
          </cell>
          <cell r="G565" t="b">
            <v>0</v>
          </cell>
          <cell r="N565">
            <v>14</v>
          </cell>
          <cell r="O565">
            <v>102</v>
          </cell>
          <cell r="P565">
            <v>116</v>
          </cell>
        </row>
        <row r="566">
          <cell r="F566">
            <v>17</v>
          </cell>
          <cell r="G566" t="b">
            <v>0</v>
          </cell>
          <cell r="N566">
            <v>14</v>
          </cell>
          <cell r="O566">
            <v>208</v>
          </cell>
          <cell r="P566">
            <v>222</v>
          </cell>
        </row>
        <row r="567">
          <cell r="F567">
            <v>18</v>
          </cell>
          <cell r="G567" t="b">
            <v>0</v>
          </cell>
          <cell r="N567">
            <v>7</v>
          </cell>
          <cell r="O567">
            <v>218</v>
          </cell>
          <cell r="P567">
            <v>225</v>
          </cell>
        </row>
        <row r="568">
          <cell r="F568">
            <v>19</v>
          </cell>
          <cell r="G568" t="b">
            <v>0</v>
          </cell>
          <cell r="N568">
            <v>13</v>
          </cell>
          <cell r="O568">
            <v>133</v>
          </cell>
          <cell r="P568">
            <v>146</v>
          </cell>
        </row>
        <row r="569">
          <cell r="F569">
            <v>20</v>
          </cell>
          <cell r="G569" t="b">
            <v>0</v>
          </cell>
          <cell r="N569">
            <v>16</v>
          </cell>
          <cell r="O569">
            <v>103</v>
          </cell>
          <cell r="P569">
            <v>119</v>
          </cell>
        </row>
        <row r="570">
          <cell r="F570">
            <v>21</v>
          </cell>
          <cell r="G570" t="b">
            <v>0</v>
          </cell>
          <cell r="N570">
            <v>5</v>
          </cell>
          <cell r="O570">
            <v>40</v>
          </cell>
          <cell r="P570">
            <v>45</v>
          </cell>
        </row>
        <row r="571">
          <cell r="F571">
            <v>22</v>
          </cell>
          <cell r="G571" t="b">
            <v>0</v>
          </cell>
          <cell r="N571">
            <v>4</v>
          </cell>
          <cell r="O571">
            <v>49</v>
          </cell>
          <cell r="P571">
            <v>53</v>
          </cell>
        </row>
        <row r="572">
          <cell r="F572">
            <v>23</v>
          </cell>
          <cell r="G572" t="b">
            <v>0</v>
          </cell>
          <cell r="N572">
            <v>3</v>
          </cell>
          <cell r="O572">
            <v>37</v>
          </cell>
          <cell r="P572">
            <v>40</v>
          </cell>
        </row>
        <row r="573">
          <cell r="F573">
            <v>0</v>
          </cell>
          <cell r="G573" t="b">
            <v>0</v>
          </cell>
          <cell r="N573">
            <v>3</v>
          </cell>
          <cell r="O573">
            <v>14</v>
          </cell>
          <cell r="P573">
            <v>17</v>
          </cell>
        </row>
        <row r="574">
          <cell r="F574">
            <v>1</v>
          </cell>
          <cell r="G574" t="b">
            <v>0</v>
          </cell>
          <cell r="N574">
            <v>0</v>
          </cell>
          <cell r="O574">
            <v>5</v>
          </cell>
          <cell r="P574">
            <v>5</v>
          </cell>
        </row>
        <row r="575">
          <cell r="F575">
            <v>2</v>
          </cell>
          <cell r="G575" t="b">
            <v>0</v>
          </cell>
          <cell r="N575">
            <v>3</v>
          </cell>
          <cell r="O575">
            <v>7</v>
          </cell>
          <cell r="P575">
            <v>10</v>
          </cell>
        </row>
        <row r="576">
          <cell r="F576">
            <v>5</v>
          </cell>
          <cell r="G576" t="b">
            <v>0</v>
          </cell>
          <cell r="N576">
            <v>0</v>
          </cell>
          <cell r="O576">
            <v>1</v>
          </cell>
          <cell r="P576">
            <v>1</v>
          </cell>
        </row>
        <row r="577">
          <cell r="F577">
            <v>6</v>
          </cell>
          <cell r="G577" t="b">
            <v>0</v>
          </cell>
          <cell r="N577">
            <v>0</v>
          </cell>
          <cell r="O577">
            <v>8</v>
          </cell>
          <cell r="P577">
            <v>8</v>
          </cell>
        </row>
        <row r="578">
          <cell r="F578">
            <v>7</v>
          </cell>
          <cell r="G578" t="b">
            <v>0</v>
          </cell>
          <cell r="N578">
            <v>1</v>
          </cell>
          <cell r="O578">
            <v>29</v>
          </cell>
          <cell r="P578">
            <v>30</v>
          </cell>
        </row>
        <row r="579">
          <cell r="F579">
            <v>8</v>
          </cell>
          <cell r="G579" t="b">
            <v>0</v>
          </cell>
          <cell r="N579">
            <v>3</v>
          </cell>
          <cell r="O579">
            <v>69</v>
          </cell>
          <cell r="P579">
            <v>72</v>
          </cell>
        </row>
        <row r="580">
          <cell r="F580">
            <v>9</v>
          </cell>
          <cell r="G580" t="b">
            <v>0</v>
          </cell>
          <cell r="N580">
            <v>3</v>
          </cell>
          <cell r="O580">
            <v>55</v>
          </cell>
          <cell r="P580">
            <v>58</v>
          </cell>
        </row>
        <row r="581">
          <cell r="F581">
            <v>10</v>
          </cell>
          <cell r="G581" t="b">
            <v>0</v>
          </cell>
          <cell r="N581">
            <v>2</v>
          </cell>
          <cell r="O581">
            <v>26</v>
          </cell>
          <cell r="P581">
            <v>28</v>
          </cell>
        </row>
        <row r="582">
          <cell r="F582">
            <v>11</v>
          </cell>
          <cell r="G582" t="b">
            <v>0</v>
          </cell>
          <cell r="N582">
            <v>6</v>
          </cell>
          <cell r="O582">
            <v>35</v>
          </cell>
          <cell r="P582">
            <v>41</v>
          </cell>
        </row>
        <row r="583">
          <cell r="F583">
            <v>12</v>
          </cell>
          <cell r="G583" t="b">
            <v>0</v>
          </cell>
          <cell r="N583">
            <v>7</v>
          </cell>
          <cell r="O583">
            <v>41</v>
          </cell>
          <cell r="P583">
            <v>48</v>
          </cell>
        </row>
        <row r="584">
          <cell r="F584">
            <v>13</v>
          </cell>
          <cell r="G584" t="b">
            <v>0</v>
          </cell>
          <cell r="N584">
            <v>4</v>
          </cell>
          <cell r="O584">
            <v>43</v>
          </cell>
          <cell r="P584">
            <v>47</v>
          </cell>
        </row>
        <row r="585">
          <cell r="F585">
            <v>14</v>
          </cell>
          <cell r="G585" t="b">
            <v>0</v>
          </cell>
          <cell r="N585">
            <v>0</v>
          </cell>
          <cell r="O585">
            <v>36</v>
          </cell>
          <cell r="P585">
            <v>36</v>
          </cell>
        </row>
        <row r="586">
          <cell r="F586">
            <v>15</v>
          </cell>
          <cell r="G586" t="b">
            <v>0</v>
          </cell>
          <cell r="N586">
            <v>1</v>
          </cell>
          <cell r="O586">
            <v>42</v>
          </cell>
          <cell r="P586">
            <v>43</v>
          </cell>
        </row>
        <row r="587">
          <cell r="F587">
            <v>16</v>
          </cell>
          <cell r="G587" t="b">
            <v>0</v>
          </cell>
          <cell r="N587">
            <v>1</v>
          </cell>
          <cell r="O587">
            <v>35</v>
          </cell>
          <cell r="P587">
            <v>36</v>
          </cell>
        </row>
        <row r="588">
          <cell r="F588">
            <v>17</v>
          </cell>
          <cell r="G588" t="b">
            <v>0</v>
          </cell>
          <cell r="N588">
            <v>0</v>
          </cell>
          <cell r="O588">
            <v>26</v>
          </cell>
          <cell r="P588">
            <v>26</v>
          </cell>
        </row>
        <row r="589">
          <cell r="F589">
            <v>16</v>
          </cell>
          <cell r="G589" t="b">
            <v>0</v>
          </cell>
          <cell r="N589">
            <v>1</v>
          </cell>
          <cell r="O589">
            <v>23</v>
          </cell>
          <cell r="P589">
            <v>24</v>
          </cell>
        </row>
        <row r="590">
          <cell r="F590">
            <v>17</v>
          </cell>
          <cell r="G590" t="b">
            <v>0</v>
          </cell>
          <cell r="N590">
            <v>2</v>
          </cell>
          <cell r="O590">
            <v>82</v>
          </cell>
          <cell r="P590">
            <v>84</v>
          </cell>
        </row>
        <row r="591">
          <cell r="F591">
            <v>18</v>
          </cell>
          <cell r="G591" t="b">
            <v>0</v>
          </cell>
          <cell r="N591">
            <v>3</v>
          </cell>
          <cell r="O591">
            <v>101</v>
          </cell>
          <cell r="P591">
            <v>104</v>
          </cell>
        </row>
        <row r="592">
          <cell r="F592">
            <v>19</v>
          </cell>
          <cell r="G592" t="b">
            <v>0</v>
          </cell>
          <cell r="N592">
            <v>3</v>
          </cell>
          <cell r="O592">
            <v>76</v>
          </cell>
          <cell r="P592">
            <v>79</v>
          </cell>
        </row>
        <row r="593">
          <cell r="F593">
            <v>20</v>
          </cell>
          <cell r="G593" t="b">
            <v>0</v>
          </cell>
          <cell r="N593">
            <v>4</v>
          </cell>
          <cell r="O593">
            <v>55</v>
          </cell>
          <cell r="P593">
            <v>59</v>
          </cell>
        </row>
        <row r="594">
          <cell r="F594">
            <v>21</v>
          </cell>
          <cell r="G594" t="b">
            <v>0</v>
          </cell>
          <cell r="N594">
            <v>2</v>
          </cell>
          <cell r="O594">
            <v>36</v>
          </cell>
          <cell r="P594">
            <v>38</v>
          </cell>
        </row>
        <row r="595">
          <cell r="F595">
            <v>22</v>
          </cell>
          <cell r="G595" t="b">
            <v>0</v>
          </cell>
          <cell r="N595">
            <v>0</v>
          </cell>
          <cell r="O595">
            <v>27</v>
          </cell>
          <cell r="P595">
            <v>27</v>
          </cell>
        </row>
        <row r="596">
          <cell r="F596">
            <v>23</v>
          </cell>
          <cell r="G596" t="b">
            <v>0</v>
          </cell>
          <cell r="N596">
            <v>0</v>
          </cell>
          <cell r="O596">
            <v>16</v>
          </cell>
          <cell r="P596">
            <v>16</v>
          </cell>
        </row>
        <row r="597">
          <cell r="F597">
            <v>0</v>
          </cell>
          <cell r="G597" t="b">
            <v>0</v>
          </cell>
          <cell r="N597">
            <v>0</v>
          </cell>
          <cell r="O597">
            <v>9</v>
          </cell>
          <cell r="P597">
            <v>9</v>
          </cell>
        </row>
        <row r="598">
          <cell r="F598">
            <v>1</v>
          </cell>
          <cell r="G598" t="b">
            <v>0</v>
          </cell>
          <cell r="N598">
            <v>1</v>
          </cell>
          <cell r="O598">
            <v>2</v>
          </cell>
          <cell r="P598">
            <v>3</v>
          </cell>
        </row>
        <row r="599">
          <cell r="F599">
            <v>2</v>
          </cell>
          <cell r="G599" t="b">
            <v>0</v>
          </cell>
          <cell r="N599">
            <v>0</v>
          </cell>
          <cell r="O599">
            <v>2</v>
          </cell>
          <cell r="P599">
            <v>2</v>
          </cell>
        </row>
        <row r="600">
          <cell r="F600">
            <v>3</v>
          </cell>
          <cell r="G600" t="b">
            <v>0</v>
          </cell>
          <cell r="N600">
            <v>1</v>
          </cell>
          <cell r="O600">
            <v>0</v>
          </cell>
          <cell r="P600">
            <v>1</v>
          </cell>
        </row>
        <row r="601">
          <cell r="F601">
            <v>5</v>
          </cell>
          <cell r="G601" t="b">
            <v>0</v>
          </cell>
          <cell r="N601">
            <v>0</v>
          </cell>
          <cell r="O601">
            <v>4</v>
          </cell>
          <cell r="P601">
            <v>4</v>
          </cell>
        </row>
        <row r="602">
          <cell r="F602">
            <v>6</v>
          </cell>
          <cell r="G602" t="b">
            <v>0</v>
          </cell>
          <cell r="N602">
            <v>0</v>
          </cell>
          <cell r="O602">
            <v>16</v>
          </cell>
          <cell r="P602">
            <v>16</v>
          </cell>
        </row>
        <row r="603">
          <cell r="F603">
            <v>7</v>
          </cell>
          <cell r="G603" t="b">
            <v>0</v>
          </cell>
          <cell r="N603">
            <v>2</v>
          </cell>
          <cell r="O603">
            <v>58</v>
          </cell>
          <cell r="P603">
            <v>60</v>
          </cell>
        </row>
        <row r="604">
          <cell r="F604">
            <v>8</v>
          </cell>
          <cell r="G604" t="b">
            <v>0</v>
          </cell>
          <cell r="N604">
            <v>2</v>
          </cell>
          <cell r="O604">
            <v>155</v>
          </cell>
          <cell r="P604">
            <v>157</v>
          </cell>
        </row>
        <row r="605">
          <cell r="F605">
            <v>9</v>
          </cell>
          <cell r="G605" t="b">
            <v>0</v>
          </cell>
          <cell r="N605">
            <v>6</v>
          </cell>
          <cell r="O605">
            <v>95</v>
          </cell>
          <cell r="P605">
            <v>101</v>
          </cell>
        </row>
        <row r="606">
          <cell r="F606">
            <v>10</v>
          </cell>
          <cell r="G606" t="b">
            <v>0</v>
          </cell>
          <cell r="N606">
            <v>0</v>
          </cell>
          <cell r="O606">
            <v>49</v>
          </cell>
          <cell r="P606">
            <v>49</v>
          </cell>
        </row>
        <row r="607">
          <cell r="F607">
            <v>11</v>
          </cell>
          <cell r="G607" t="b">
            <v>0</v>
          </cell>
          <cell r="N607">
            <v>0</v>
          </cell>
          <cell r="O607">
            <v>30</v>
          </cell>
          <cell r="P607">
            <v>30</v>
          </cell>
        </row>
        <row r="608">
          <cell r="F608">
            <v>12</v>
          </cell>
          <cell r="G608" t="b">
            <v>0</v>
          </cell>
          <cell r="N608">
            <v>1</v>
          </cell>
          <cell r="O608">
            <v>28</v>
          </cell>
          <cell r="P608">
            <v>29</v>
          </cell>
        </row>
        <row r="609">
          <cell r="F609">
            <v>13</v>
          </cell>
          <cell r="G609" t="b">
            <v>0</v>
          </cell>
          <cell r="N609">
            <v>0</v>
          </cell>
          <cell r="O609">
            <v>31</v>
          </cell>
          <cell r="P609">
            <v>31</v>
          </cell>
        </row>
        <row r="610">
          <cell r="F610">
            <v>14</v>
          </cell>
          <cell r="G610" t="b">
            <v>0</v>
          </cell>
          <cell r="N610">
            <v>2</v>
          </cell>
          <cell r="O610">
            <v>36</v>
          </cell>
          <cell r="P610">
            <v>38</v>
          </cell>
        </row>
        <row r="611">
          <cell r="F611">
            <v>15</v>
          </cell>
          <cell r="G611" t="b">
            <v>0</v>
          </cell>
          <cell r="N611">
            <v>1</v>
          </cell>
          <cell r="O611">
            <v>40</v>
          </cell>
          <cell r="P611">
            <v>41</v>
          </cell>
        </row>
        <row r="612">
          <cell r="F612">
            <v>1</v>
          </cell>
          <cell r="G612" t="b">
            <v>0</v>
          </cell>
          <cell r="N612">
            <v>0</v>
          </cell>
          <cell r="O612">
            <v>20</v>
          </cell>
          <cell r="P612">
            <v>20</v>
          </cell>
        </row>
        <row r="613">
          <cell r="F613">
            <v>2</v>
          </cell>
          <cell r="G613" t="b">
            <v>0</v>
          </cell>
          <cell r="N613">
            <v>0</v>
          </cell>
          <cell r="O613">
            <v>15</v>
          </cell>
          <cell r="P613">
            <v>15</v>
          </cell>
        </row>
        <row r="614">
          <cell r="F614">
            <v>3</v>
          </cell>
          <cell r="G614" t="b">
            <v>0</v>
          </cell>
          <cell r="N614">
            <v>3</v>
          </cell>
          <cell r="O614">
            <v>5</v>
          </cell>
          <cell r="P614">
            <v>8</v>
          </cell>
        </row>
        <row r="615">
          <cell r="F615">
            <v>4</v>
          </cell>
          <cell r="G615" t="b">
            <v>0</v>
          </cell>
          <cell r="N615">
            <v>1</v>
          </cell>
          <cell r="O615">
            <v>2</v>
          </cell>
          <cell r="P615">
            <v>3</v>
          </cell>
        </row>
        <row r="616">
          <cell r="F616">
            <v>6</v>
          </cell>
          <cell r="G616" t="b">
            <v>0</v>
          </cell>
          <cell r="N616">
            <v>0</v>
          </cell>
          <cell r="O616">
            <v>2</v>
          </cell>
          <cell r="P616">
            <v>2</v>
          </cell>
        </row>
        <row r="617">
          <cell r="F617">
            <v>7</v>
          </cell>
          <cell r="G617" t="b">
            <v>0</v>
          </cell>
          <cell r="N617">
            <v>1</v>
          </cell>
          <cell r="O617">
            <v>4</v>
          </cell>
          <cell r="P617">
            <v>5</v>
          </cell>
        </row>
        <row r="618">
          <cell r="F618">
            <v>8</v>
          </cell>
          <cell r="G618" t="b">
            <v>0</v>
          </cell>
          <cell r="N618">
            <v>3</v>
          </cell>
          <cell r="O618">
            <v>31</v>
          </cell>
          <cell r="P618">
            <v>34</v>
          </cell>
        </row>
        <row r="619">
          <cell r="F619">
            <v>9</v>
          </cell>
          <cell r="G619" t="b">
            <v>0</v>
          </cell>
          <cell r="N619">
            <v>0</v>
          </cell>
          <cell r="O619">
            <v>34</v>
          </cell>
          <cell r="P619">
            <v>34</v>
          </cell>
        </row>
        <row r="620">
          <cell r="F620">
            <v>10</v>
          </cell>
          <cell r="G620" t="b">
            <v>0</v>
          </cell>
          <cell r="N620">
            <v>4</v>
          </cell>
          <cell r="O620">
            <v>51</v>
          </cell>
          <cell r="P620">
            <v>55</v>
          </cell>
        </row>
        <row r="621">
          <cell r="F621">
            <v>11</v>
          </cell>
          <cell r="G621" t="b">
            <v>0</v>
          </cell>
          <cell r="N621">
            <v>4</v>
          </cell>
          <cell r="O621">
            <v>60</v>
          </cell>
          <cell r="P621">
            <v>64</v>
          </cell>
        </row>
        <row r="622">
          <cell r="F622">
            <v>12</v>
          </cell>
          <cell r="G622" t="b">
            <v>0</v>
          </cell>
          <cell r="N622">
            <v>12</v>
          </cell>
          <cell r="O622">
            <v>66</v>
          </cell>
          <cell r="P622">
            <v>78</v>
          </cell>
        </row>
        <row r="623">
          <cell r="F623">
            <v>13</v>
          </cell>
          <cell r="G623" t="b">
            <v>0</v>
          </cell>
          <cell r="N623">
            <v>9</v>
          </cell>
          <cell r="O623">
            <v>56</v>
          </cell>
          <cell r="P623">
            <v>65</v>
          </cell>
        </row>
        <row r="624">
          <cell r="F624">
            <v>14</v>
          </cell>
          <cell r="G624" t="b">
            <v>0</v>
          </cell>
          <cell r="N624">
            <v>10</v>
          </cell>
          <cell r="O624">
            <v>89</v>
          </cell>
          <cell r="P624">
            <v>99</v>
          </cell>
        </row>
        <row r="625">
          <cell r="F625">
            <v>15</v>
          </cell>
          <cell r="G625" t="b">
            <v>0</v>
          </cell>
          <cell r="N625">
            <v>22</v>
          </cell>
          <cell r="O625">
            <v>98</v>
          </cell>
          <cell r="P625">
            <v>120</v>
          </cell>
        </row>
        <row r="626">
          <cell r="F626">
            <v>16</v>
          </cell>
          <cell r="G626" t="b">
            <v>0</v>
          </cell>
          <cell r="N626">
            <v>19</v>
          </cell>
          <cell r="O626">
            <v>88</v>
          </cell>
          <cell r="P626">
            <v>107</v>
          </cell>
        </row>
        <row r="627">
          <cell r="F627">
            <v>17</v>
          </cell>
          <cell r="G627" t="b">
            <v>0</v>
          </cell>
          <cell r="N627">
            <v>9</v>
          </cell>
          <cell r="O627">
            <v>82</v>
          </cell>
          <cell r="P627">
            <v>91</v>
          </cell>
        </row>
        <row r="628">
          <cell r="F628">
            <v>18</v>
          </cell>
          <cell r="G628" t="b">
            <v>0</v>
          </cell>
          <cell r="N628">
            <v>9</v>
          </cell>
          <cell r="O628">
            <v>59</v>
          </cell>
          <cell r="P628">
            <v>68</v>
          </cell>
        </row>
        <row r="629">
          <cell r="F629">
            <v>19</v>
          </cell>
          <cell r="G629" t="b">
            <v>0</v>
          </cell>
          <cell r="N629">
            <v>6</v>
          </cell>
          <cell r="O629">
            <v>52</v>
          </cell>
          <cell r="P629">
            <v>58</v>
          </cell>
        </row>
        <row r="630">
          <cell r="F630">
            <v>20</v>
          </cell>
          <cell r="G630" t="b">
            <v>0</v>
          </cell>
          <cell r="N630">
            <v>1</v>
          </cell>
          <cell r="O630">
            <v>42</v>
          </cell>
          <cell r="P630">
            <v>43</v>
          </cell>
        </row>
        <row r="631">
          <cell r="F631">
            <v>21</v>
          </cell>
          <cell r="G631" t="b">
            <v>0</v>
          </cell>
          <cell r="N631">
            <v>1</v>
          </cell>
          <cell r="O631">
            <v>35</v>
          </cell>
          <cell r="P631">
            <v>36</v>
          </cell>
        </row>
        <row r="632">
          <cell r="F632">
            <v>22</v>
          </cell>
          <cell r="G632" t="b">
            <v>0</v>
          </cell>
          <cell r="N632">
            <v>4</v>
          </cell>
          <cell r="O632">
            <v>28</v>
          </cell>
          <cell r="P632">
            <v>32</v>
          </cell>
        </row>
        <row r="633">
          <cell r="F633">
            <v>23</v>
          </cell>
          <cell r="G633" t="b">
            <v>0</v>
          </cell>
          <cell r="N633">
            <v>3</v>
          </cell>
          <cell r="O633">
            <v>30</v>
          </cell>
          <cell r="P633">
            <v>33</v>
          </cell>
        </row>
        <row r="634">
          <cell r="F634">
            <v>0</v>
          </cell>
          <cell r="G634" t="b">
            <v>0</v>
          </cell>
          <cell r="N634">
            <v>0</v>
          </cell>
          <cell r="O634">
            <v>33</v>
          </cell>
          <cell r="P634">
            <v>33</v>
          </cell>
        </row>
        <row r="635">
          <cell r="F635">
            <v>1</v>
          </cell>
          <cell r="G635" t="b">
            <v>0</v>
          </cell>
          <cell r="N635">
            <v>7</v>
          </cell>
          <cell r="O635">
            <v>22</v>
          </cell>
          <cell r="P635">
            <v>29</v>
          </cell>
        </row>
        <row r="636">
          <cell r="F636">
            <v>2</v>
          </cell>
          <cell r="G636" t="b">
            <v>0</v>
          </cell>
          <cell r="N636">
            <v>1</v>
          </cell>
          <cell r="O636">
            <v>10</v>
          </cell>
          <cell r="P636">
            <v>11</v>
          </cell>
        </row>
        <row r="637">
          <cell r="F637">
            <v>3</v>
          </cell>
          <cell r="G637" t="b">
            <v>0</v>
          </cell>
          <cell r="N637">
            <v>1</v>
          </cell>
          <cell r="O637">
            <v>7</v>
          </cell>
          <cell r="P637">
            <v>8</v>
          </cell>
        </row>
        <row r="638">
          <cell r="F638">
            <v>4</v>
          </cell>
          <cell r="G638" t="b">
            <v>0</v>
          </cell>
          <cell r="N638">
            <v>0</v>
          </cell>
          <cell r="O638">
            <v>1</v>
          </cell>
          <cell r="P638">
            <v>1</v>
          </cell>
        </row>
        <row r="639">
          <cell r="F639">
            <v>5</v>
          </cell>
          <cell r="G639" t="b">
            <v>0</v>
          </cell>
          <cell r="N639">
            <v>0</v>
          </cell>
          <cell r="O639">
            <v>3</v>
          </cell>
          <cell r="P639">
            <v>3</v>
          </cell>
        </row>
        <row r="640">
          <cell r="F640">
            <v>7</v>
          </cell>
          <cell r="G640" t="b">
            <v>0</v>
          </cell>
          <cell r="N640">
            <v>0</v>
          </cell>
          <cell r="O640">
            <v>3</v>
          </cell>
          <cell r="P640">
            <v>3</v>
          </cell>
        </row>
        <row r="641">
          <cell r="F641">
            <v>8</v>
          </cell>
          <cell r="G641" t="b">
            <v>0</v>
          </cell>
          <cell r="N641">
            <v>1</v>
          </cell>
          <cell r="O641">
            <v>11</v>
          </cell>
          <cell r="P641">
            <v>12</v>
          </cell>
        </row>
        <row r="642">
          <cell r="F642">
            <v>9</v>
          </cell>
          <cell r="G642" t="b">
            <v>0</v>
          </cell>
          <cell r="N642">
            <v>4</v>
          </cell>
          <cell r="O642">
            <v>34</v>
          </cell>
          <cell r="P642">
            <v>38</v>
          </cell>
        </row>
        <row r="643">
          <cell r="F643">
            <v>10</v>
          </cell>
          <cell r="G643" t="b">
            <v>0</v>
          </cell>
          <cell r="N643">
            <v>7</v>
          </cell>
          <cell r="O643">
            <v>57</v>
          </cell>
          <cell r="P643">
            <v>64</v>
          </cell>
        </row>
        <row r="644">
          <cell r="F644">
            <v>11</v>
          </cell>
          <cell r="G644" t="b">
            <v>0</v>
          </cell>
          <cell r="N644">
            <v>9</v>
          </cell>
          <cell r="O644">
            <v>50</v>
          </cell>
          <cell r="P644">
            <v>59</v>
          </cell>
        </row>
        <row r="645">
          <cell r="F645">
            <v>12</v>
          </cell>
          <cell r="G645" t="b">
            <v>0</v>
          </cell>
          <cell r="N645">
            <v>10</v>
          </cell>
          <cell r="O645">
            <v>87</v>
          </cell>
          <cell r="P645">
            <v>97</v>
          </cell>
        </row>
        <row r="646">
          <cell r="F646">
            <v>13</v>
          </cell>
          <cell r="G646" t="b">
            <v>0</v>
          </cell>
          <cell r="N646">
            <v>13</v>
          </cell>
          <cell r="O646">
            <v>71</v>
          </cell>
          <cell r="P646">
            <v>84</v>
          </cell>
        </row>
        <row r="647">
          <cell r="F647">
            <v>14</v>
          </cell>
          <cell r="G647" t="b">
            <v>0</v>
          </cell>
          <cell r="N647">
            <v>18</v>
          </cell>
          <cell r="O647">
            <v>104</v>
          </cell>
          <cell r="P647">
            <v>122</v>
          </cell>
        </row>
        <row r="648">
          <cell r="F648">
            <v>15</v>
          </cell>
          <cell r="G648" t="b">
            <v>0</v>
          </cell>
          <cell r="N648">
            <v>14</v>
          </cell>
          <cell r="O648">
            <v>95</v>
          </cell>
          <cell r="P648">
            <v>109</v>
          </cell>
        </row>
        <row r="649">
          <cell r="F649">
            <v>16</v>
          </cell>
          <cell r="G649" t="b">
            <v>0</v>
          </cell>
          <cell r="N649">
            <v>19</v>
          </cell>
          <cell r="O649">
            <v>104</v>
          </cell>
          <cell r="P649">
            <v>123</v>
          </cell>
        </row>
        <row r="650">
          <cell r="F650">
            <v>17</v>
          </cell>
          <cell r="G650" t="b">
            <v>0</v>
          </cell>
          <cell r="N650">
            <v>6</v>
          </cell>
          <cell r="O650">
            <v>71</v>
          </cell>
          <cell r="P650">
            <v>77</v>
          </cell>
        </row>
        <row r="651">
          <cell r="F651">
            <v>18</v>
          </cell>
          <cell r="G651" t="b">
            <v>0</v>
          </cell>
          <cell r="N651">
            <v>8</v>
          </cell>
          <cell r="O651">
            <v>57</v>
          </cell>
          <cell r="P651">
            <v>65</v>
          </cell>
        </row>
        <row r="652">
          <cell r="F652">
            <v>19</v>
          </cell>
          <cell r="G652" t="b">
            <v>0</v>
          </cell>
          <cell r="N652">
            <v>9</v>
          </cell>
          <cell r="O652">
            <v>46</v>
          </cell>
          <cell r="P652">
            <v>55</v>
          </cell>
        </row>
        <row r="653">
          <cell r="F653">
            <v>20</v>
          </cell>
          <cell r="G653" t="b">
            <v>0</v>
          </cell>
          <cell r="N653">
            <v>3</v>
          </cell>
          <cell r="O653">
            <v>30</v>
          </cell>
          <cell r="P653">
            <v>33</v>
          </cell>
        </row>
        <row r="654">
          <cell r="F654">
            <v>21</v>
          </cell>
          <cell r="G654" t="b">
            <v>0</v>
          </cell>
          <cell r="N654">
            <v>3</v>
          </cell>
          <cell r="O654">
            <v>25</v>
          </cell>
          <cell r="P654">
            <v>28</v>
          </cell>
        </row>
        <row r="655">
          <cell r="F655">
            <v>22</v>
          </cell>
          <cell r="G655" t="b">
            <v>0</v>
          </cell>
          <cell r="N655">
            <v>2</v>
          </cell>
          <cell r="O655">
            <v>19</v>
          </cell>
          <cell r="P655">
            <v>21</v>
          </cell>
        </row>
        <row r="656">
          <cell r="F656">
            <v>23</v>
          </cell>
          <cell r="G656" t="b">
            <v>0</v>
          </cell>
          <cell r="N656">
            <v>5</v>
          </cell>
          <cell r="O656">
            <v>16</v>
          </cell>
          <cell r="P656">
            <v>21</v>
          </cell>
        </row>
        <row r="657">
          <cell r="F657">
            <v>0</v>
          </cell>
          <cell r="G657" t="b">
            <v>0</v>
          </cell>
          <cell r="N657">
            <v>1</v>
          </cell>
          <cell r="O657">
            <v>6</v>
          </cell>
          <cell r="P657">
            <v>7</v>
          </cell>
        </row>
        <row r="658">
          <cell r="F658">
            <v>1</v>
          </cell>
          <cell r="G658" t="b">
            <v>0</v>
          </cell>
          <cell r="N658">
            <v>2</v>
          </cell>
          <cell r="O658">
            <v>5</v>
          </cell>
          <cell r="P658">
            <v>7</v>
          </cell>
        </row>
        <row r="659">
          <cell r="F659">
            <v>2</v>
          </cell>
          <cell r="G659" t="b">
            <v>0</v>
          </cell>
          <cell r="N659">
            <v>0</v>
          </cell>
          <cell r="O659">
            <v>1</v>
          </cell>
          <cell r="P659">
            <v>1</v>
          </cell>
        </row>
        <row r="660">
          <cell r="F660">
            <v>3</v>
          </cell>
          <cell r="G660" t="b">
            <v>0</v>
          </cell>
          <cell r="N660">
            <v>0</v>
          </cell>
          <cell r="O660">
            <v>2</v>
          </cell>
          <cell r="P660">
            <v>2</v>
          </cell>
        </row>
        <row r="661">
          <cell r="F661">
            <v>4</v>
          </cell>
          <cell r="G661" t="b">
            <v>0</v>
          </cell>
          <cell r="N661">
            <v>0</v>
          </cell>
          <cell r="O661">
            <v>2</v>
          </cell>
          <cell r="P661">
            <v>2</v>
          </cell>
        </row>
        <row r="662">
          <cell r="F662">
            <v>5</v>
          </cell>
          <cell r="G662" t="b">
            <v>0</v>
          </cell>
          <cell r="N662">
            <v>0</v>
          </cell>
          <cell r="O662">
            <v>8</v>
          </cell>
          <cell r="P662">
            <v>8</v>
          </cell>
        </row>
        <row r="663">
          <cell r="F663">
            <v>6</v>
          </cell>
          <cell r="G663" t="b">
            <v>0</v>
          </cell>
          <cell r="N663">
            <v>0</v>
          </cell>
          <cell r="O663">
            <v>37</v>
          </cell>
          <cell r="P663">
            <v>37</v>
          </cell>
        </row>
        <row r="664">
          <cell r="F664">
            <v>7</v>
          </cell>
          <cell r="G664" t="b">
            <v>0</v>
          </cell>
          <cell r="N664">
            <v>1</v>
          </cell>
          <cell r="O664">
            <v>71</v>
          </cell>
          <cell r="P664">
            <v>72</v>
          </cell>
        </row>
        <row r="665">
          <cell r="F665">
            <v>8</v>
          </cell>
          <cell r="G665" t="b">
            <v>0</v>
          </cell>
          <cell r="N665">
            <v>3</v>
          </cell>
          <cell r="O665">
            <v>182</v>
          </cell>
          <cell r="P665">
            <v>185</v>
          </cell>
        </row>
        <row r="666">
          <cell r="F666">
            <v>9</v>
          </cell>
          <cell r="G666" t="b">
            <v>0</v>
          </cell>
          <cell r="N666">
            <v>0</v>
          </cell>
          <cell r="O666">
            <v>112</v>
          </cell>
          <cell r="P666">
            <v>112</v>
          </cell>
        </row>
        <row r="667">
          <cell r="F667">
            <v>10</v>
          </cell>
          <cell r="G667" t="b">
            <v>0</v>
          </cell>
          <cell r="N667">
            <v>1</v>
          </cell>
          <cell r="O667">
            <v>68</v>
          </cell>
          <cell r="P667">
            <v>69</v>
          </cell>
        </row>
        <row r="668">
          <cell r="F668">
            <v>11</v>
          </cell>
          <cell r="G668" t="b">
            <v>0</v>
          </cell>
          <cell r="N668">
            <v>2</v>
          </cell>
          <cell r="O668">
            <v>46</v>
          </cell>
          <cell r="P668">
            <v>48</v>
          </cell>
        </row>
        <row r="669">
          <cell r="F669">
            <v>12</v>
          </cell>
          <cell r="G669" t="b">
            <v>0</v>
          </cell>
          <cell r="N669">
            <v>6</v>
          </cell>
          <cell r="O669">
            <v>62</v>
          </cell>
          <cell r="P669">
            <v>68</v>
          </cell>
        </row>
        <row r="670">
          <cell r="F670">
            <v>13</v>
          </cell>
          <cell r="G670" t="b">
            <v>0</v>
          </cell>
          <cell r="N670">
            <v>2</v>
          </cell>
          <cell r="O670">
            <v>52</v>
          </cell>
          <cell r="P670">
            <v>54</v>
          </cell>
        </row>
        <row r="671">
          <cell r="F671">
            <v>14</v>
          </cell>
          <cell r="G671" t="b">
            <v>0</v>
          </cell>
          <cell r="N671">
            <v>1</v>
          </cell>
          <cell r="O671">
            <v>85</v>
          </cell>
          <cell r="P671">
            <v>86</v>
          </cell>
        </row>
        <row r="672">
          <cell r="F672">
            <v>15</v>
          </cell>
          <cell r="G672" t="b">
            <v>0</v>
          </cell>
          <cell r="N672">
            <v>3</v>
          </cell>
          <cell r="O672">
            <v>41</v>
          </cell>
          <cell r="P672">
            <v>44</v>
          </cell>
        </row>
        <row r="673">
          <cell r="F673">
            <v>16</v>
          </cell>
          <cell r="G673" t="b">
            <v>0</v>
          </cell>
          <cell r="N673">
            <v>3</v>
          </cell>
          <cell r="O673">
            <v>83</v>
          </cell>
          <cell r="P673">
            <v>86</v>
          </cell>
        </row>
        <row r="674">
          <cell r="F674">
            <v>17</v>
          </cell>
          <cell r="G674" t="b">
            <v>0</v>
          </cell>
          <cell r="N674">
            <v>6</v>
          </cell>
          <cell r="O674">
            <v>155</v>
          </cell>
          <cell r="P674">
            <v>161</v>
          </cell>
        </row>
        <row r="675">
          <cell r="F675">
            <v>18</v>
          </cell>
          <cell r="G675" t="b">
            <v>0</v>
          </cell>
          <cell r="N675">
            <v>3</v>
          </cell>
          <cell r="O675">
            <v>153</v>
          </cell>
          <cell r="P675">
            <v>156</v>
          </cell>
        </row>
        <row r="676">
          <cell r="F676">
            <v>19</v>
          </cell>
          <cell r="G676" t="b">
            <v>0</v>
          </cell>
          <cell r="N676">
            <v>3</v>
          </cell>
          <cell r="O676">
            <v>108</v>
          </cell>
          <cell r="P676">
            <v>111</v>
          </cell>
        </row>
        <row r="677">
          <cell r="F677">
            <v>20</v>
          </cell>
          <cell r="G677" t="b">
            <v>0</v>
          </cell>
          <cell r="N677">
            <v>0</v>
          </cell>
          <cell r="O677">
            <v>78</v>
          </cell>
          <cell r="P677">
            <v>78</v>
          </cell>
        </row>
        <row r="678">
          <cell r="F678">
            <v>21</v>
          </cell>
          <cell r="G678" t="b">
            <v>0</v>
          </cell>
          <cell r="N678">
            <v>3</v>
          </cell>
          <cell r="O678">
            <v>53</v>
          </cell>
          <cell r="P678">
            <v>56</v>
          </cell>
        </row>
        <row r="679">
          <cell r="F679">
            <v>22</v>
          </cell>
          <cell r="G679" t="b">
            <v>0</v>
          </cell>
          <cell r="N679">
            <v>0</v>
          </cell>
          <cell r="O679">
            <v>34</v>
          </cell>
          <cell r="P679">
            <v>34</v>
          </cell>
        </row>
        <row r="680">
          <cell r="F680">
            <v>23</v>
          </cell>
          <cell r="G680" t="b">
            <v>0</v>
          </cell>
          <cell r="N680">
            <v>2</v>
          </cell>
          <cell r="O680">
            <v>15</v>
          </cell>
          <cell r="P680">
            <v>17</v>
          </cell>
        </row>
        <row r="681">
          <cell r="F681">
            <v>0</v>
          </cell>
          <cell r="G681" t="b">
            <v>0</v>
          </cell>
          <cell r="N681">
            <v>2</v>
          </cell>
          <cell r="O681">
            <v>6</v>
          </cell>
          <cell r="P681">
            <v>8</v>
          </cell>
        </row>
        <row r="682">
          <cell r="F682">
            <v>1</v>
          </cell>
          <cell r="G682" t="b">
            <v>0</v>
          </cell>
          <cell r="N682">
            <v>0</v>
          </cell>
          <cell r="O682">
            <v>3</v>
          </cell>
          <cell r="P682">
            <v>3</v>
          </cell>
        </row>
        <row r="683">
          <cell r="F683">
            <v>2</v>
          </cell>
          <cell r="G683" t="b">
            <v>0</v>
          </cell>
          <cell r="N683">
            <v>0</v>
          </cell>
          <cell r="O683">
            <v>2</v>
          </cell>
          <cell r="P683">
            <v>2</v>
          </cell>
        </row>
        <row r="684">
          <cell r="F684">
            <v>3</v>
          </cell>
          <cell r="G684" t="b">
            <v>0</v>
          </cell>
          <cell r="N684">
            <v>0</v>
          </cell>
          <cell r="O684">
            <v>2</v>
          </cell>
          <cell r="P684">
            <v>2</v>
          </cell>
        </row>
        <row r="685">
          <cell r="F685">
            <v>5</v>
          </cell>
          <cell r="G685" t="b">
            <v>0</v>
          </cell>
          <cell r="N685">
            <v>0</v>
          </cell>
          <cell r="O685">
            <v>3</v>
          </cell>
          <cell r="P685">
            <v>3</v>
          </cell>
        </row>
        <row r="686">
          <cell r="F686">
            <v>6</v>
          </cell>
          <cell r="G686" t="b">
            <v>0</v>
          </cell>
          <cell r="N686">
            <v>0</v>
          </cell>
          <cell r="O686">
            <v>22</v>
          </cell>
          <cell r="P686">
            <v>22</v>
          </cell>
        </row>
        <row r="687">
          <cell r="F687">
            <v>7</v>
          </cell>
          <cell r="G687" t="b">
            <v>0</v>
          </cell>
          <cell r="N687">
            <v>0</v>
          </cell>
          <cell r="O687">
            <v>52</v>
          </cell>
          <cell r="P687">
            <v>52</v>
          </cell>
        </row>
        <row r="688">
          <cell r="F688">
            <v>8</v>
          </cell>
          <cell r="G688" t="b">
            <v>0</v>
          </cell>
          <cell r="N688">
            <v>3</v>
          </cell>
          <cell r="O688">
            <v>132</v>
          </cell>
          <cell r="P688">
            <v>135</v>
          </cell>
        </row>
        <row r="689">
          <cell r="F689">
            <v>9</v>
          </cell>
          <cell r="G689" t="b">
            <v>0</v>
          </cell>
          <cell r="N689">
            <v>2</v>
          </cell>
          <cell r="O689">
            <v>114</v>
          </cell>
          <cell r="P689">
            <v>116</v>
          </cell>
        </row>
        <row r="690">
          <cell r="F690">
            <v>10</v>
          </cell>
          <cell r="G690" t="b">
            <v>0</v>
          </cell>
          <cell r="N690">
            <v>0</v>
          </cell>
          <cell r="O690">
            <v>47</v>
          </cell>
          <cell r="P690">
            <v>47</v>
          </cell>
        </row>
        <row r="691">
          <cell r="F691">
            <v>11</v>
          </cell>
          <cell r="G691" t="b">
            <v>0</v>
          </cell>
          <cell r="N691">
            <v>2</v>
          </cell>
          <cell r="O691">
            <v>49</v>
          </cell>
          <cell r="P691">
            <v>51</v>
          </cell>
        </row>
        <row r="692">
          <cell r="F692">
            <v>12</v>
          </cell>
          <cell r="G692" t="b">
            <v>0</v>
          </cell>
          <cell r="N692">
            <v>2</v>
          </cell>
          <cell r="O692">
            <v>53</v>
          </cell>
          <cell r="P692">
            <v>55</v>
          </cell>
        </row>
        <row r="693">
          <cell r="F693">
            <v>13</v>
          </cell>
          <cell r="G693" t="b">
            <v>0</v>
          </cell>
          <cell r="N693">
            <v>3</v>
          </cell>
          <cell r="O693">
            <v>49</v>
          </cell>
          <cell r="P693">
            <v>52</v>
          </cell>
        </row>
        <row r="694">
          <cell r="F694">
            <v>14</v>
          </cell>
          <cell r="G694" t="b">
            <v>0</v>
          </cell>
          <cell r="N694">
            <v>5</v>
          </cell>
          <cell r="O694">
            <v>49</v>
          </cell>
          <cell r="P694">
            <v>54</v>
          </cell>
        </row>
        <row r="695">
          <cell r="F695">
            <v>15</v>
          </cell>
          <cell r="G695" t="b">
            <v>0</v>
          </cell>
          <cell r="N695">
            <v>7</v>
          </cell>
          <cell r="O695">
            <v>45</v>
          </cell>
          <cell r="P695">
            <v>52</v>
          </cell>
        </row>
        <row r="696">
          <cell r="F696">
            <v>16</v>
          </cell>
          <cell r="G696" t="b">
            <v>0</v>
          </cell>
          <cell r="N696">
            <v>3</v>
          </cell>
          <cell r="O696">
            <v>61</v>
          </cell>
          <cell r="P696">
            <v>64</v>
          </cell>
        </row>
        <row r="697">
          <cell r="F697">
            <v>17</v>
          </cell>
          <cell r="G697" t="b">
            <v>0</v>
          </cell>
          <cell r="N697">
            <v>4</v>
          </cell>
          <cell r="O697">
            <v>172</v>
          </cell>
          <cell r="P697">
            <v>176</v>
          </cell>
        </row>
        <row r="698">
          <cell r="F698">
            <v>18</v>
          </cell>
          <cell r="G698" t="b">
            <v>0</v>
          </cell>
          <cell r="N698">
            <v>3</v>
          </cell>
          <cell r="O698">
            <v>165</v>
          </cell>
          <cell r="P698">
            <v>168</v>
          </cell>
        </row>
        <row r="699">
          <cell r="F699">
            <v>19</v>
          </cell>
          <cell r="G699" t="b">
            <v>0</v>
          </cell>
          <cell r="N699">
            <v>3</v>
          </cell>
          <cell r="O699">
            <v>105</v>
          </cell>
          <cell r="P699">
            <v>108</v>
          </cell>
        </row>
        <row r="700">
          <cell r="F700">
            <v>20</v>
          </cell>
          <cell r="G700" t="b">
            <v>0</v>
          </cell>
          <cell r="N700">
            <v>5</v>
          </cell>
          <cell r="O700">
            <v>69</v>
          </cell>
          <cell r="P700">
            <v>74</v>
          </cell>
        </row>
        <row r="701">
          <cell r="F701">
            <v>21</v>
          </cell>
          <cell r="G701" t="b">
            <v>0</v>
          </cell>
          <cell r="N701">
            <v>0</v>
          </cell>
          <cell r="O701">
            <v>64</v>
          </cell>
          <cell r="P701">
            <v>64</v>
          </cell>
        </row>
        <row r="702">
          <cell r="F702">
            <v>22</v>
          </cell>
          <cell r="G702" t="b">
            <v>0</v>
          </cell>
          <cell r="N702">
            <v>2</v>
          </cell>
          <cell r="O702">
            <v>34</v>
          </cell>
          <cell r="P702">
            <v>36</v>
          </cell>
        </row>
        <row r="703">
          <cell r="F703">
            <v>23</v>
          </cell>
          <cell r="G703" t="b">
            <v>0</v>
          </cell>
          <cell r="N703">
            <v>1</v>
          </cell>
          <cell r="O703">
            <v>15</v>
          </cell>
          <cell r="P703">
            <v>16</v>
          </cell>
        </row>
        <row r="704">
          <cell r="F704">
            <v>0</v>
          </cell>
          <cell r="G704" t="b">
            <v>0</v>
          </cell>
          <cell r="N704">
            <v>0</v>
          </cell>
          <cell r="O704">
            <v>2</v>
          </cell>
          <cell r="P704">
            <v>2</v>
          </cell>
        </row>
        <row r="705">
          <cell r="F705">
            <v>1</v>
          </cell>
          <cell r="G705" t="b">
            <v>0</v>
          </cell>
          <cell r="N705">
            <v>0</v>
          </cell>
          <cell r="O705">
            <v>3</v>
          </cell>
          <cell r="P705">
            <v>3</v>
          </cell>
        </row>
        <row r="706">
          <cell r="F706">
            <v>2</v>
          </cell>
          <cell r="G706" t="b">
            <v>0</v>
          </cell>
          <cell r="N706">
            <v>4</v>
          </cell>
          <cell r="O706">
            <v>0</v>
          </cell>
          <cell r="P706">
            <v>4</v>
          </cell>
        </row>
        <row r="707">
          <cell r="F707">
            <v>3</v>
          </cell>
          <cell r="G707" t="b">
            <v>0</v>
          </cell>
          <cell r="N707">
            <v>0</v>
          </cell>
          <cell r="O707">
            <v>1</v>
          </cell>
          <cell r="P707">
            <v>1</v>
          </cell>
        </row>
        <row r="708">
          <cell r="F708">
            <v>4</v>
          </cell>
          <cell r="G708" t="b">
            <v>0</v>
          </cell>
          <cell r="N708">
            <v>0</v>
          </cell>
          <cell r="O708">
            <v>1</v>
          </cell>
          <cell r="P708">
            <v>1</v>
          </cell>
        </row>
        <row r="709">
          <cell r="F709">
            <v>5</v>
          </cell>
          <cell r="G709" t="b">
            <v>0</v>
          </cell>
          <cell r="N709">
            <v>0</v>
          </cell>
          <cell r="O709">
            <v>3</v>
          </cell>
          <cell r="P709">
            <v>3</v>
          </cell>
        </row>
        <row r="710">
          <cell r="F710">
            <v>6</v>
          </cell>
          <cell r="G710" t="b">
            <v>0</v>
          </cell>
          <cell r="N710">
            <v>1</v>
          </cell>
          <cell r="O710">
            <v>17</v>
          </cell>
          <cell r="P710">
            <v>18</v>
          </cell>
        </row>
        <row r="711">
          <cell r="F711">
            <v>7</v>
          </cell>
          <cell r="G711" t="b">
            <v>0</v>
          </cell>
          <cell r="N711">
            <v>1</v>
          </cell>
          <cell r="O711">
            <v>48</v>
          </cell>
          <cell r="P711">
            <v>49</v>
          </cell>
        </row>
        <row r="712">
          <cell r="F712">
            <v>8</v>
          </cell>
          <cell r="G712" t="b">
            <v>0</v>
          </cell>
          <cell r="N712">
            <v>1</v>
          </cell>
          <cell r="O712">
            <v>154</v>
          </cell>
          <cell r="P712">
            <v>155</v>
          </cell>
        </row>
        <row r="713">
          <cell r="F713">
            <v>9</v>
          </cell>
          <cell r="G713" t="b">
            <v>0</v>
          </cell>
          <cell r="N713">
            <v>4</v>
          </cell>
          <cell r="O713">
            <v>119</v>
          </cell>
          <cell r="P713">
            <v>123</v>
          </cell>
        </row>
        <row r="714">
          <cell r="F714">
            <v>10</v>
          </cell>
          <cell r="G714" t="b">
            <v>0</v>
          </cell>
          <cell r="N714">
            <v>2</v>
          </cell>
          <cell r="O714">
            <v>59</v>
          </cell>
          <cell r="P714">
            <v>61</v>
          </cell>
        </row>
        <row r="715">
          <cell r="F715">
            <v>11</v>
          </cell>
          <cell r="G715" t="b">
            <v>0</v>
          </cell>
          <cell r="N715">
            <v>5</v>
          </cell>
          <cell r="O715">
            <v>47</v>
          </cell>
          <cell r="P715">
            <v>52</v>
          </cell>
        </row>
        <row r="716">
          <cell r="F716">
            <v>12</v>
          </cell>
          <cell r="G716" t="b">
            <v>0</v>
          </cell>
          <cell r="N716">
            <v>3</v>
          </cell>
          <cell r="O716">
            <v>61</v>
          </cell>
          <cell r="P716">
            <v>64</v>
          </cell>
        </row>
        <row r="717">
          <cell r="F717">
            <v>13</v>
          </cell>
          <cell r="G717" t="b">
            <v>0</v>
          </cell>
          <cell r="N717">
            <v>1</v>
          </cell>
          <cell r="O717">
            <v>74</v>
          </cell>
          <cell r="P717">
            <v>75</v>
          </cell>
        </row>
        <row r="718">
          <cell r="F718">
            <v>14</v>
          </cell>
          <cell r="G718" t="b">
            <v>0</v>
          </cell>
          <cell r="N718">
            <v>2</v>
          </cell>
          <cell r="O718">
            <v>61</v>
          </cell>
          <cell r="P718">
            <v>63</v>
          </cell>
        </row>
        <row r="719">
          <cell r="F719">
            <v>15</v>
          </cell>
          <cell r="G719" t="b">
            <v>0</v>
          </cell>
          <cell r="N719">
            <v>10</v>
          </cell>
          <cell r="O719">
            <v>66</v>
          </cell>
          <cell r="P719">
            <v>76</v>
          </cell>
        </row>
        <row r="720">
          <cell r="F720">
            <v>16</v>
          </cell>
          <cell r="G720" t="b">
            <v>0</v>
          </cell>
          <cell r="N720">
            <v>8</v>
          </cell>
          <cell r="O720">
            <v>95</v>
          </cell>
          <cell r="P720">
            <v>103</v>
          </cell>
        </row>
        <row r="721">
          <cell r="F721">
            <v>17</v>
          </cell>
          <cell r="G721" t="b">
            <v>0</v>
          </cell>
          <cell r="N721">
            <v>7</v>
          </cell>
          <cell r="O721">
            <v>183</v>
          </cell>
          <cell r="P721">
            <v>190</v>
          </cell>
        </row>
        <row r="722">
          <cell r="F722">
            <v>18</v>
          </cell>
          <cell r="G722" t="b">
            <v>0</v>
          </cell>
          <cell r="N722">
            <v>7</v>
          </cell>
          <cell r="O722">
            <v>175</v>
          </cell>
          <cell r="P722">
            <v>182</v>
          </cell>
        </row>
        <row r="723">
          <cell r="F723">
            <v>19</v>
          </cell>
          <cell r="G723" t="b">
            <v>0</v>
          </cell>
          <cell r="N723">
            <v>3</v>
          </cell>
          <cell r="O723">
            <v>88</v>
          </cell>
          <cell r="P723">
            <v>91</v>
          </cell>
        </row>
        <row r="724">
          <cell r="F724">
            <v>20</v>
          </cell>
          <cell r="G724" t="b">
            <v>0</v>
          </cell>
          <cell r="N724">
            <v>4</v>
          </cell>
          <cell r="O724">
            <v>71</v>
          </cell>
          <cell r="P724">
            <v>75</v>
          </cell>
        </row>
        <row r="725">
          <cell r="F725">
            <v>21</v>
          </cell>
          <cell r="G725" t="b">
            <v>0</v>
          </cell>
          <cell r="N725">
            <v>1</v>
          </cell>
          <cell r="O725">
            <v>62</v>
          </cell>
          <cell r="P725">
            <v>63</v>
          </cell>
        </row>
        <row r="726">
          <cell r="F726">
            <v>22</v>
          </cell>
          <cell r="G726" t="b">
            <v>0</v>
          </cell>
          <cell r="N726">
            <v>5</v>
          </cell>
          <cell r="O726">
            <v>35</v>
          </cell>
          <cell r="P726">
            <v>40</v>
          </cell>
        </row>
        <row r="727">
          <cell r="F727">
            <v>23</v>
          </cell>
          <cell r="G727" t="b">
            <v>0</v>
          </cell>
          <cell r="N727">
            <v>3</v>
          </cell>
          <cell r="O727">
            <v>29</v>
          </cell>
          <cell r="P727">
            <v>32</v>
          </cell>
        </row>
        <row r="728">
          <cell r="F728">
            <v>0</v>
          </cell>
          <cell r="G728" t="b">
            <v>0</v>
          </cell>
          <cell r="N728">
            <v>1</v>
          </cell>
          <cell r="O728">
            <v>11</v>
          </cell>
          <cell r="P728">
            <v>12</v>
          </cell>
        </row>
        <row r="729">
          <cell r="F729">
            <v>1</v>
          </cell>
          <cell r="G729" t="b">
            <v>0</v>
          </cell>
          <cell r="N729">
            <v>0</v>
          </cell>
          <cell r="O729">
            <v>5</v>
          </cell>
          <cell r="P729">
            <v>5</v>
          </cell>
        </row>
        <row r="730">
          <cell r="F730">
            <v>2</v>
          </cell>
          <cell r="G730" t="b">
            <v>0</v>
          </cell>
          <cell r="N730">
            <v>0</v>
          </cell>
          <cell r="O730">
            <v>2</v>
          </cell>
          <cell r="P730">
            <v>2</v>
          </cell>
        </row>
        <row r="731">
          <cell r="F731">
            <v>3</v>
          </cell>
          <cell r="G731" t="b">
            <v>0</v>
          </cell>
          <cell r="N731">
            <v>0</v>
          </cell>
          <cell r="O731">
            <v>1</v>
          </cell>
          <cell r="P731">
            <v>1</v>
          </cell>
        </row>
        <row r="732">
          <cell r="F732">
            <v>5</v>
          </cell>
          <cell r="G732" t="b">
            <v>0</v>
          </cell>
          <cell r="N732">
            <v>0</v>
          </cell>
          <cell r="O732">
            <v>2</v>
          </cell>
          <cell r="P732">
            <v>2</v>
          </cell>
        </row>
        <row r="733">
          <cell r="F733">
            <v>6</v>
          </cell>
          <cell r="G733" t="b">
            <v>0</v>
          </cell>
          <cell r="N733">
            <v>0</v>
          </cell>
          <cell r="O733">
            <v>39</v>
          </cell>
          <cell r="P733">
            <v>39</v>
          </cell>
        </row>
        <row r="734">
          <cell r="F734">
            <v>7</v>
          </cell>
          <cell r="G734" t="b">
            <v>0</v>
          </cell>
          <cell r="N734">
            <v>1</v>
          </cell>
          <cell r="O734">
            <v>86</v>
          </cell>
          <cell r="P734">
            <v>87</v>
          </cell>
        </row>
        <row r="735">
          <cell r="F735">
            <v>8</v>
          </cell>
          <cell r="G735" t="b">
            <v>0</v>
          </cell>
          <cell r="N735">
            <v>4</v>
          </cell>
          <cell r="O735">
            <v>184</v>
          </cell>
          <cell r="P735">
            <v>188</v>
          </cell>
        </row>
        <row r="736">
          <cell r="F736">
            <v>9</v>
          </cell>
          <cell r="G736" t="b">
            <v>0</v>
          </cell>
          <cell r="N736">
            <v>6</v>
          </cell>
          <cell r="O736">
            <v>127</v>
          </cell>
          <cell r="P736">
            <v>133</v>
          </cell>
        </row>
        <row r="737">
          <cell r="F737">
            <v>10</v>
          </cell>
          <cell r="G737" t="b">
            <v>0</v>
          </cell>
          <cell r="N737">
            <v>2</v>
          </cell>
          <cell r="O737">
            <v>50</v>
          </cell>
          <cell r="P737">
            <v>52</v>
          </cell>
        </row>
        <row r="738">
          <cell r="F738">
            <v>11</v>
          </cell>
          <cell r="G738" t="b">
            <v>0</v>
          </cell>
          <cell r="N738">
            <v>9</v>
          </cell>
          <cell r="O738">
            <v>55</v>
          </cell>
          <cell r="P738">
            <v>64</v>
          </cell>
        </row>
        <row r="739">
          <cell r="F739">
            <v>12</v>
          </cell>
          <cell r="G739" t="b">
            <v>0</v>
          </cell>
          <cell r="N739">
            <v>2</v>
          </cell>
          <cell r="O739">
            <v>67</v>
          </cell>
          <cell r="P739">
            <v>69</v>
          </cell>
        </row>
        <row r="740">
          <cell r="F740">
            <v>13</v>
          </cell>
          <cell r="G740" t="b">
            <v>0</v>
          </cell>
          <cell r="N740">
            <v>4</v>
          </cell>
          <cell r="O740">
            <v>47</v>
          </cell>
          <cell r="P740">
            <v>51</v>
          </cell>
        </row>
        <row r="741">
          <cell r="F741">
            <v>14</v>
          </cell>
          <cell r="G741" t="b">
            <v>0</v>
          </cell>
          <cell r="N741">
            <v>4</v>
          </cell>
          <cell r="O741">
            <v>43</v>
          </cell>
          <cell r="P741">
            <v>47</v>
          </cell>
        </row>
        <row r="742">
          <cell r="F742">
            <v>15</v>
          </cell>
          <cell r="G742" t="b">
            <v>0</v>
          </cell>
          <cell r="N742">
            <v>4</v>
          </cell>
          <cell r="O742">
            <v>56</v>
          </cell>
          <cell r="P742">
            <v>60</v>
          </cell>
        </row>
        <row r="743">
          <cell r="F743">
            <v>16</v>
          </cell>
          <cell r="G743" t="b">
            <v>0</v>
          </cell>
          <cell r="N743">
            <v>5</v>
          </cell>
          <cell r="O743">
            <v>73</v>
          </cell>
          <cell r="P743">
            <v>78</v>
          </cell>
        </row>
        <row r="744">
          <cell r="F744">
            <v>17</v>
          </cell>
          <cell r="G744" t="b">
            <v>0</v>
          </cell>
          <cell r="N744">
            <v>5</v>
          </cell>
          <cell r="O744">
            <v>170</v>
          </cell>
          <cell r="P744">
            <v>175</v>
          </cell>
        </row>
        <row r="745">
          <cell r="F745">
            <v>18</v>
          </cell>
          <cell r="G745" t="b">
            <v>0</v>
          </cell>
          <cell r="N745">
            <v>2</v>
          </cell>
          <cell r="O745">
            <v>145</v>
          </cell>
          <cell r="P745">
            <v>147</v>
          </cell>
        </row>
        <row r="746">
          <cell r="F746">
            <v>19</v>
          </cell>
          <cell r="G746" t="b">
            <v>0</v>
          </cell>
          <cell r="N746">
            <v>4</v>
          </cell>
          <cell r="O746">
            <v>92</v>
          </cell>
          <cell r="P746">
            <v>96</v>
          </cell>
        </row>
        <row r="747">
          <cell r="F747">
            <v>20</v>
          </cell>
          <cell r="G747" t="b">
            <v>0</v>
          </cell>
          <cell r="N747">
            <v>1</v>
          </cell>
          <cell r="O747">
            <v>108</v>
          </cell>
          <cell r="P747">
            <v>109</v>
          </cell>
        </row>
        <row r="748">
          <cell r="F748">
            <v>21</v>
          </cell>
          <cell r="G748" t="b">
            <v>0</v>
          </cell>
          <cell r="N748">
            <v>1</v>
          </cell>
          <cell r="O748">
            <v>53</v>
          </cell>
          <cell r="P748">
            <v>54</v>
          </cell>
        </row>
        <row r="749">
          <cell r="F749">
            <v>22</v>
          </cell>
          <cell r="G749" t="b">
            <v>0</v>
          </cell>
          <cell r="N749">
            <v>2</v>
          </cell>
          <cell r="O749">
            <v>39</v>
          </cell>
          <cell r="P749">
            <v>41</v>
          </cell>
        </row>
        <row r="750">
          <cell r="F750">
            <v>23</v>
          </cell>
          <cell r="G750" t="b">
            <v>0</v>
          </cell>
          <cell r="N750">
            <v>4</v>
          </cell>
          <cell r="O750">
            <v>34</v>
          </cell>
          <cell r="P750">
            <v>38</v>
          </cell>
        </row>
        <row r="751">
          <cell r="F751">
            <v>0</v>
          </cell>
          <cell r="G751" t="b">
            <v>0</v>
          </cell>
          <cell r="N751">
            <v>3</v>
          </cell>
          <cell r="O751">
            <v>10</v>
          </cell>
          <cell r="P751">
            <v>13</v>
          </cell>
        </row>
        <row r="752">
          <cell r="F752">
            <v>1</v>
          </cell>
          <cell r="G752" t="b">
            <v>0</v>
          </cell>
          <cell r="N752">
            <v>0</v>
          </cell>
          <cell r="O752">
            <v>7</v>
          </cell>
          <cell r="P752">
            <v>7</v>
          </cell>
        </row>
        <row r="753">
          <cell r="F753">
            <v>2</v>
          </cell>
          <cell r="G753" t="b">
            <v>0</v>
          </cell>
          <cell r="N753">
            <v>0</v>
          </cell>
          <cell r="O753">
            <v>1</v>
          </cell>
          <cell r="P753">
            <v>1</v>
          </cell>
        </row>
        <row r="754">
          <cell r="F754">
            <v>3</v>
          </cell>
          <cell r="G754" t="b">
            <v>0</v>
          </cell>
          <cell r="N754">
            <v>0</v>
          </cell>
          <cell r="O754">
            <v>1</v>
          </cell>
          <cell r="P754">
            <v>1</v>
          </cell>
        </row>
        <row r="755">
          <cell r="F755">
            <v>5</v>
          </cell>
          <cell r="G755" t="b">
            <v>0</v>
          </cell>
          <cell r="N755">
            <v>0</v>
          </cell>
          <cell r="O755">
            <v>7</v>
          </cell>
          <cell r="P755">
            <v>7</v>
          </cell>
        </row>
        <row r="756">
          <cell r="F756">
            <v>6</v>
          </cell>
          <cell r="G756" t="b">
            <v>0</v>
          </cell>
          <cell r="N756">
            <v>2</v>
          </cell>
          <cell r="O756">
            <v>26</v>
          </cell>
          <cell r="P756">
            <v>28</v>
          </cell>
        </row>
        <row r="757">
          <cell r="F757">
            <v>7</v>
          </cell>
          <cell r="G757" t="b">
            <v>0</v>
          </cell>
          <cell r="N757">
            <v>0</v>
          </cell>
          <cell r="O757">
            <v>87</v>
          </cell>
          <cell r="P757">
            <v>87</v>
          </cell>
        </row>
        <row r="758">
          <cell r="F758">
            <v>8</v>
          </cell>
          <cell r="G758" t="b">
            <v>0</v>
          </cell>
          <cell r="N758">
            <v>3</v>
          </cell>
          <cell r="O758">
            <v>217</v>
          </cell>
          <cell r="P758">
            <v>220</v>
          </cell>
        </row>
        <row r="759">
          <cell r="F759">
            <v>9</v>
          </cell>
          <cell r="G759" t="b">
            <v>0</v>
          </cell>
          <cell r="N759">
            <v>3</v>
          </cell>
          <cell r="O759">
            <v>124</v>
          </cell>
          <cell r="P759">
            <v>127</v>
          </cell>
        </row>
        <row r="760">
          <cell r="F760">
            <v>10</v>
          </cell>
          <cell r="G760" t="b">
            <v>0</v>
          </cell>
          <cell r="N760">
            <v>5</v>
          </cell>
          <cell r="O760">
            <v>46</v>
          </cell>
          <cell r="P760">
            <v>51</v>
          </cell>
        </row>
        <row r="761">
          <cell r="F761">
            <v>11</v>
          </cell>
          <cell r="G761" t="b">
            <v>0</v>
          </cell>
          <cell r="N761">
            <v>3</v>
          </cell>
          <cell r="O761">
            <v>61</v>
          </cell>
          <cell r="P761">
            <v>64</v>
          </cell>
        </row>
        <row r="762">
          <cell r="F762">
            <v>12</v>
          </cell>
          <cell r="G762" t="b">
            <v>0</v>
          </cell>
          <cell r="N762">
            <v>8</v>
          </cell>
          <cell r="O762">
            <v>78</v>
          </cell>
          <cell r="P762">
            <v>86</v>
          </cell>
        </row>
        <row r="763">
          <cell r="F763">
            <v>13</v>
          </cell>
          <cell r="G763" t="b">
            <v>0</v>
          </cell>
          <cell r="N763">
            <v>9</v>
          </cell>
          <cell r="O763">
            <v>73</v>
          </cell>
          <cell r="P763">
            <v>82</v>
          </cell>
        </row>
        <row r="764">
          <cell r="F764">
            <v>14</v>
          </cell>
          <cell r="G764" t="b">
            <v>0</v>
          </cell>
          <cell r="N764">
            <v>15</v>
          </cell>
          <cell r="O764">
            <v>76</v>
          </cell>
          <cell r="P764">
            <v>91</v>
          </cell>
        </row>
        <row r="765">
          <cell r="F765">
            <v>15</v>
          </cell>
          <cell r="G765" t="b">
            <v>0</v>
          </cell>
          <cell r="N765">
            <v>9</v>
          </cell>
          <cell r="O765">
            <v>81</v>
          </cell>
          <cell r="P765">
            <v>90</v>
          </cell>
        </row>
        <row r="766">
          <cell r="F766">
            <v>16</v>
          </cell>
          <cell r="G766" t="b">
            <v>0</v>
          </cell>
          <cell r="N766">
            <v>8</v>
          </cell>
          <cell r="O766">
            <v>91</v>
          </cell>
          <cell r="P766">
            <v>99</v>
          </cell>
        </row>
        <row r="767">
          <cell r="F767">
            <v>17</v>
          </cell>
          <cell r="G767" t="b">
            <v>0</v>
          </cell>
          <cell r="N767">
            <v>10</v>
          </cell>
          <cell r="O767">
            <v>195</v>
          </cell>
          <cell r="P767">
            <v>205</v>
          </cell>
        </row>
        <row r="768">
          <cell r="F768">
            <v>18</v>
          </cell>
          <cell r="G768" t="b">
            <v>0</v>
          </cell>
          <cell r="N768">
            <v>3</v>
          </cell>
          <cell r="O768">
            <v>152</v>
          </cell>
          <cell r="P768">
            <v>155</v>
          </cell>
        </row>
        <row r="769">
          <cell r="F769">
            <v>19</v>
          </cell>
          <cell r="G769" t="b">
            <v>0</v>
          </cell>
          <cell r="N769">
            <v>1</v>
          </cell>
          <cell r="O769">
            <v>102</v>
          </cell>
          <cell r="P769">
            <v>103</v>
          </cell>
        </row>
        <row r="770">
          <cell r="F770">
            <v>20</v>
          </cell>
          <cell r="G770" t="b">
            <v>0</v>
          </cell>
          <cell r="N770">
            <v>2</v>
          </cell>
          <cell r="O770">
            <v>69</v>
          </cell>
          <cell r="P770">
            <v>71</v>
          </cell>
        </row>
        <row r="771">
          <cell r="F771">
            <v>21</v>
          </cell>
          <cell r="G771" t="b">
            <v>0</v>
          </cell>
          <cell r="N771">
            <v>2</v>
          </cell>
          <cell r="O771">
            <v>41</v>
          </cell>
          <cell r="P771">
            <v>43</v>
          </cell>
        </row>
        <row r="772">
          <cell r="F772">
            <v>22</v>
          </cell>
          <cell r="G772" t="b">
            <v>0</v>
          </cell>
          <cell r="N772">
            <v>1</v>
          </cell>
          <cell r="O772">
            <v>45</v>
          </cell>
          <cell r="P772">
            <v>46</v>
          </cell>
        </row>
        <row r="773">
          <cell r="F773">
            <v>23</v>
          </cell>
          <cell r="G773" t="b">
            <v>0</v>
          </cell>
          <cell r="N773">
            <v>1</v>
          </cell>
          <cell r="O773">
            <v>30</v>
          </cell>
          <cell r="P773">
            <v>31</v>
          </cell>
        </row>
        <row r="774">
          <cell r="F774">
            <v>0</v>
          </cell>
          <cell r="G774" t="b">
            <v>0</v>
          </cell>
          <cell r="N774">
            <v>3</v>
          </cell>
          <cell r="O774">
            <v>36</v>
          </cell>
          <cell r="P774">
            <v>39</v>
          </cell>
        </row>
        <row r="775">
          <cell r="F775">
            <v>1</v>
          </cell>
          <cell r="G775" t="b">
            <v>0</v>
          </cell>
          <cell r="N775">
            <v>1</v>
          </cell>
          <cell r="O775">
            <v>17</v>
          </cell>
          <cell r="P775">
            <v>18</v>
          </cell>
        </row>
        <row r="776">
          <cell r="F776">
            <v>2</v>
          </cell>
          <cell r="G776" t="b">
            <v>0</v>
          </cell>
          <cell r="N776">
            <v>5</v>
          </cell>
          <cell r="O776">
            <v>12</v>
          </cell>
          <cell r="P776">
            <v>17</v>
          </cell>
        </row>
        <row r="777">
          <cell r="F777">
            <v>3</v>
          </cell>
          <cell r="G777" t="b">
            <v>0</v>
          </cell>
          <cell r="N777">
            <v>1</v>
          </cell>
          <cell r="O777">
            <v>10</v>
          </cell>
          <cell r="P777">
            <v>11</v>
          </cell>
        </row>
        <row r="778">
          <cell r="F778">
            <v>4</v>
          </cell>
          <cell r="G778" t="b">
            <v>0</v>
          </cell>
          <cell r="N778">
            <v>0</v>
          </cell>
          <cell r="O778">
            <v>8</v>
          </cell>
          <cell r="P778">
            <v>8</v>
          </cell>
        </row>
        <row r="779">
          <cell r="F779">
            <v>5</v>
          </cell>
          <cell r="G779" t="b">
            <v>0</v>
          </cell>
          <cell r="N779">
            <v>0</v>
          </cell>
          <cell r="O779">
            <v>9</v>
          </cell>
          <cell r="P779">
            <v>9</v>
          </cell>
        </row>
        <row r="780">
          <cell r="F780">
            <v>6</v>
          </cell>
          <cell r="G780" t="b">
            <v>0</v>
          </cell>
          <cell r="N780">
            <v>0</v>
          </cell>
          <cell r="O780">
            <v>4</v>
          </cell>
          <cell r="P780">
            <v>4</v>
          </cell>
        </row>
        <row r="781">
          <cell r="F781">
            <v>7</v>
          </cell>
          <cell r="G781" t="b">
            <v>0</v>
          </cell>
          <cell r="N781">
            <v>0</v>
          </cell>
          <cell r="O781">
            <v>4</v>
          </cell>
          <cell r="P781">
            <v>4</v>
          </cell>
        </row>
        <row r="782">
          <cell r="F782">
            <v>8</v>
          </cell>
          <cell r="G782" t="b">
            <v>0</v>
          </cell>
          <cell r="N782">
            <v>0</v>
          </cell>
          <cell r="O782">
            <v>10</v>
          </cell>
          <cell r="P782">
            <v>10</v>
          </cell>
        </row>
        <row r="783">
          <cell r="F783">
            <v>9</v>
          </cell>
          <cell r="G783" t="b">
            <v>0</v>
          </cell>
          <cell r="N783">
            <v>3</v>
          </cell>
          <cell r="O783">
            <v>17</v>
          </cell>
          <cell r="P783">
            <v>20</v>
          </cell>
        </row>
        <row r="784">
          <cell r="F784">
            <v>10</v>
          </cell>
          <cell r="G784" t="b">
            <v>0</v>
          </cell>
          <cell r="N784">
            <v>3</v>
          </cell>
          <cell r="O784">
            <v>31</v>
          </cell>
          <cell r="P784">
            <v>34</v>
          </cell>
        </row>
        <row r="785">
          <cell r="F785">
            <v>11</v>
          </cell>
          <cell r="G785" t="b">
            <v>0</v>
          </cell>
          <cell r="N785">
            <v>1</v>
          </cell>
          <cell r="O785">
            <v>46</v>
          </cell>
          <cell r="P785">
            <v>47</v>
          </cell>
        </row>
        <row r="786">
          <cell r="F786">
            <v>12</v>
          </cell>
          <cell r="G786" t="b">
            <v>0</v>
          </cell>
          <cell r="N786">
            <v>10</v>
          </cell>
          <cell r="O786">
            <v>42</v>
          </cell>
          <cell r="P786">
            <v>52</v>
          </cell>
        </row>
        <row r="787">
          <cell r="F787">
            <v>13</v>
          </cell>
          <cell r="G787" t="b">
            <v>0</v>
          </cell>
          <cell r="N787">
            <v>10</v>
          </cell>
          <cell r="O787">
            <v>62</v>
          </cell>
          <cell r="P787">
            <v>72</v>
          </cell>
        </row>
        <row r="788">
          <cell r="F788">
            <v>14</v>
          </cell>
          <cell r="G788" t="b">
            <v>0</v>
          </cell>
          <cell r="N788">
            <v>5</v>
          </cell>
          <cell r="O788">
            <v>50</v>
          </cell>
          <cell r="P788">
            <v>55</v>
          </cell>
        </row>
        <row r="789">
          <cell r="F789">
            <v>15</v>
          </cell>
          <cell r="G789" t="b">
            <v>0</v>
          </cell>
          <cell r="N789">
            <v>11</v>
          </cell>
          <cell r="O789">
            <v>49</v>
          </cell>
          <cell r="P789">
            <v>60</v>
          </cell>
        </row>
        <row r="790">
          <cell r="F790">
            <v>16</v>
          </cell>
          <cell r="G790" t="b">
            <v>0</v>
          </cell>
          <cell r="N790">
            <v>8</v>
          </cell>
          <cell r="O790">
            <v>63</v>
          </cell>
          <cell r="P790">
            <v>71</v>
          </cell>
        </row>
        <row r="791">
          <cell r="F791">
            <v>17</v>
          </cell>
          <cell r="G791" t="b">
            <v>0</v>
          </cell>
          <cell r="N791">
            <v>14</v>
          </cell>
          <cell r="O791">
            <v>64</v>
          </cell>
          <cell r="P791">
            <v>78</v>
          </cell>
        </row>
        <row r="792">
          <cell r="F792">
            <v>18</v>
          </cell>
          <cell r="G792" t="b">
            <v>0</v>
          </cell>
          <cell r="N792">
            <v>2</v>
          </cell>
          <cell r="O792">
            <v>81</v>
          </cell>
          <cell r="P792">
            <v>83</v>
          </cell>
        </row>
        <row r="793">
          <cell r="F793">
            <v>19</v>
          </cell>
          <cell r="G793" t="b">
            <v>0</v>
          </cell>
          <cell r="N793">
            <v>6</v>
          </cell>
          <cell r="O793">
            <v>78</v>
          </cell>
          <cell r="P793">
            <v>84</v>
          </cell>
        </row>
        <row r="794">
          <cell r="F794">
            <v>20</v>
          </cell>
          <cell r="G794" t="b">
            <v>0</v>
          </cell>
          <cell r="N794">
            <v>5</v>
          </cell>
          <cell r="O794">
            <v>64</v>
          </cell>
          <cell r="P794">
            <v>69</v>
          </cell>
        </row>
        <row r="795">
          <cell r="F795">
            <v>21</v>
          </cell>
          <cell r="G795" t="b">
            <v>0</v>
          </cell>
          <cell r="N795">
            <v>3</v>
          </cell>
          <cell r="O795">
            <v>53</v>
          </cell>
          <cell r="P795">
            <v>56</v>
          </cell>
        </row>
        <row r="796">
          <cell r="F796">
            <v>22</v>
          </cell>
          <cell r="G796" t="b">
            <v>0</v>
          </cell>
          <cell r="N796">
            <v>2</v>
          </cell>
          <cell r="O796">
            <v>43</v>
          </cell>
          <cell r="P796">
            <v>45</v>
          </cell>
        </row>
        <row r="797">
          <cell r="F797">
            <v>23</v>
          </cell>
          <cell r="G797" t="b">
            <v>0</v>
          </cell>
          <cell r="N797">
            <v>7</v>
          </cell>
          <cell r="O797">
            <v>52</v>
          </cell>
          <cell r="P797">
            <v>59</v>
          </cell>
        </row>
        <row r="798">
          <cell r="F798">
            <v>0</v>
          </cell>
          <cell r="G798" t="b">
            <v>0</v>
          </cell>
          <cell r="N798">
            <v>2</v>
          </cell>
          <cell r="O798">
            <v>37</v>
          </cell>
          <cell r="P798">
            <v>39</v>
          </cell>
        </row>
        <row r="799">
          <cell r="F799">
            <v>1</v>
          </cell>
          <cell r="G799" t="b">
            <v>0</v>
          </cell>
          <cell r="N799">
            <v>4</v>
          </cell>
          <cell r="O799">
            <v>40</v>
          </cell>
          <cell r="P799">
            <v>44</v>
          </cell>
        </row>
        <row r="800">
          <cell r="F800">
            <v>2</v>
          </cell>
          <cell r="G800" t="b">
            <v>0</v>
          </cell>
          <cell r="N800">
            <v>0</v>
          </cell>
          <cell r="O800">
            <v>20</v>
          </cell>
          <cell r="P800">
            <v>20</v>
          </cell>
        </row>
        <row r="801">
          <cell r="F801">
            <v>3</v>
          </cell>
          <cell r="G801" t="b">
            <v>0</v>
          </cell>
          <cell r="N801">
            <v>3</v>
          </cell>
          <cell r="O801">
            <v>10</v>
          </cell>
          <cell r="P801">
            <v>13</v>
          </cell>
        </row>
        <row r="802">
          <cell r="F802">
            <v>4</v>
          </cell>
          <cell r="G802" t="b">
            <v>0</v>
          </cell>
          <cell r="N802">
            <v>0</v>
          </cell>
          <cell r="O802">
            <v>2</v>
          </cell>
          <cell r="P802">
            <v>2</v>
          </cell>
        </row>
        <row r="803">
          <cell r="F803">
            <v>5</v>
          </cell>
          <cell r="G803" t="b">
            <v>0</v>
          </cell>
          <cell r="N803">
            <v>0</v>
          </cell>
          <cell r="O803">
            <v>1</v>
          </cell>
          <cell r="P803">
            <v>1</v>
          </cell>
        </row>
        <row r="804">
          <cell r="F804">
            <v>6</v>
          </cell>
          <cell r="G804" t="b">
            <v>0</v>
          </cell>
          <cell r="N804">
            <v>0</v>
          </cell>
          <cell r="O804">
            <v>1</v>
          </cell>
          <cell r="P804">
            <v>1</v>
          </cell>
        </row>
        <row r="805">
          <cell r="F805">
            <v>7</v>
          </cell>
          <cell r="G805" t="b">
            <v>0</v>
          </cell>
          <cell r="N805">
            <v>0</v>
          </cell>
          <cell r="O805">
            <v>8</v>
          </cell>
          <cell r="P805">
            <v>8</v>
          </cell>
        </row>
        <row r="806">
          <cell r="F806">
            <v>8</v>
          </cell>
          <cell r="G806" t="b">
            <v>0</v>
          </cell>
          <cell r="N806">
            <v>2</v>
          </cell>
          <cell r="O806">
            <v>21</v>
          </cell>
          <cell r="P806">
            <v>23</v>
          </cell>
        </row>
        <row r="807">
          <cell r="F807">
            <v>9</v>
          </cell>
          <cell r="G807" t="b">
            <v>0</v>
          </cell>
          <cell r="N807">
            <v>7</v>
          </cell>
          <cell r="O807">
            <v>38</v>
          </cell>
          <cell r="P807">
            <v>45</v>
          </cell>
        </row>
        <row r="808">
          <cell r="F808">
            <v>10</v>
          </cell>
          <cell r="G808" t="b">
            <v>0</v>
          </cell>
          <cell r="N808">
            <v>15</v>
          </cell>
          <cell r="O808">
            <v>74</v>
          </cell>
          <cell r="P808">
            <v>89</v>
          </cell>
        </row>
        <row r="809">
          <cell r="F809">
            <v>11</v>
          </cell>
          <cell r="G809" t="b">
            <v>0</v>
          </cell>
          <cell r="N809">
            <v>28</v>
          </cell>
          <cell r="O809">
            <v>89</v>
          </cell>
          <cell r="P809">
            <v>117</v>
          </cell>
        </row>
        <row r="810">
          <cell r="F810">
            <v>12</v>
          </cell>
          <cell r="G810" t="b">
            <v>0</v>
          </cell>
          <cell r="N810">
            <v>48</v>
          </cell>
          <cell r="O810">
            <v>126</v>
          </cell>
          <cell r="P810">
            <v>174</v>
          </cell>
        </row>
        <row r="811">
          <cell r="F811">
            <v>13</v>
          </cell>
          <cell r="G811" t="b">
            <v>0</v>
          </cell>
          <cell r="N811">
            <v>47</v>
          </cell>
          <cell r="O811">
            <v>135</v>
          </cell>
          <cell r="P811">
            <v>182</v>
          </cell>
        </row>
        <row r="812">
          <cell r="F812">
            <v>14</v>
          </cell>
          <cell r="G812" t="b">
            <v>0</v>
          </cell>
          <cell r="N812">
            <v>47</v>
          </cell>
          <cell r="O812">
            <v>114</v>
          </cell>
          <cell r="P812">
            <v>161</v>
          </cell>
        </row>
        <row r="813">
          <cell r="F813">
            <v>15</v>
          </cell>
          <cell r="G813" t="b">
            <v>0</v>
          </cell>
          <cell r="N813">
            <v>52</v>
          </cell>
          <cell r="O813">
            <v>130</v>
          </cell>
          <cell r="P813">
            <v>182</v>
          </cell>
        </row>
        <row r="814">
          <cell r="F814">
            <v>16</v>
          </cell>
          <cell r="G814" t="b">
            <v>0</v>
          </cell>
          <cell r="N814">
            <v>42</v>
          </cell>
          <cell r="O814">
            <v>115</v>
          </cell>
          <cell r="P814">
            <v>157</v>
          </cell>
        </row>
        <row r="815">
          <cell r="F815">
            <v>17</v>
          </cell>
          <cell r="G815" t="b">
            <v>0</v>
          </cell>
          <cell r="N815">
            <v>24</v>
          </cell>
          <cell r="O815">
            <v>97</v>
          </cell>
          <cell r="P815">
            <v>121</v>
          </cell>
        </row>
        <row r="816">
          <cell r="F816">
            <v>18</v>
          </cell>
          <cell r="G816" t="b">
            <v>0</v>
          </cell>
          <cell r="N816">
            <v>13</v>
          </cell>
          <cell r="O816">
            <v>65</v>
          </cell>
          <cell r="P816">
            <v>78</v>
          </cell>
        </row>
        <row r="817">
          <cell r="F817">
            <v>19</v>
          </cell>
          <cell r="G817" t="b">
            <v>0</v>
          </cell>
          <cell r="N817">
            <v>1</v>
          </cell>
          <cell r="O817">
            <v>20</v>
          </cell>
          <cell r="P817">
            <v>21</v>
          </cell>
        </row>
        <row r="818">
          <cell r="F818">
            <v>20</v>
          </cell>
          <cell r="G818" t="b">
            <v>0</v>
          </cell>
          <cell r="N818">
            <v>5</v>
          </cell>
          <cell r="O818">
            <v>21</v>
          </cell>
          <cell r="P818">
            <v>26</v>
          </cell>
        </row>
        <row r="819">
          <cell r="F819">
            <v>21</v>
          </cell>
          <cell r="G819" t="b">
            <v>0</v>
          </cell>
          <cell r="N819">
            <v>5</v>
          </cell>
          <cell r="O819">
            <v>22</v>
          </cell>
          <cell r="P819">
            <v>27</v>
          </cell>
        </row>
        <row r="820">
          <cell r="F820">
            <v>22</v>
          </cell>
          <cell r="G820" t="b">
            <v>0</v>
          </cell>
          <cell r="N820">
            <v>5</v>
          </cell>
          <cell r="O820">
            <v>57</v>
          </cell>
          <cell r="P820">
            <v>62</v>
          </cell>
        </row>
        <row r="821">
          <cell r="F821">
            <v>23</v>
          </cell>
          <cell r="G821" t="b">
            <v>0</v>
          </cell>
          <cell r="N821">
            <v>4</v>
          </cell>
          <cell r="O821">
            <v>26</v>
          </cell>
          <cell r="P821">
            <v>30</v>
          </cell>
        </row>
        <row r="822">
          <cell r="F822">
            <v>0</v>
          </cell>
          <cell r="G822" t="b">
            <v>0</v>
          </cell>
          <cell r="N822">
            <v>1</v>
          </cell>
          <cell r="O822">
            <v>14</v>
          </cell>
          <cell r="P822">
            <v>15</v>
          </cell>
        </row>
        <row r="823">
          <cell r="F823">
            <v>1</v>
          </cell>
          <cell r="G823" t="b">
            <v>0</v>
          </cell>
          <cell r="N823">
            <v>1</v>
          </cell>
          <cell r="O823">
            <v>4</v>
          </cell>
          <cell r="P823">
            <v>5</v>
          </cell>
        </row>
        <row r="824">
          <cell r="F824">
            <v>2</v>
          </cell>
          <cell r="G824" t="b">
            <v>0</v>
          </cell>
          <cell r="N824">
            <v>0</v>
          </cell>
          <cell r="O824">
            <v>3</v>
          </cell>
          <cell r="P824">
            <v>3</v>
          </cell>
        </row>
        <row r="825">
          <cell r="F825">
            <v>3</v>
          </cell>
          <cell r="G825" t="b">
            <v>0</v>
          </cell>
          <cell r="N825">
            <v>0</v>
          </cell>
          <cell r="O825">
            <v>1</v>
          </cell>
          <cell r="P825">
            <v>1</v>
          </cell>
        </row>
        <row r="826">
          <cell r="F826">
            <v>4</v>
          </cell>
          <cell r="G826" t="b">
            <v>0</v>
          </cell>
          <cell r="N826">
            <v>1</v>
          </cell>
          <cell r="O826">
            <v>1</v>
          </cell>
          <cell r="P826">
            <v>2</v>
          </cell>
        </row>
        <row r="827">
          <cell r="F827">
            <v>5</v>
          </cell>
          <cell r="G827" t="b">
            <v>0</v>
          </cell>
          <cell r="N827">
            <v>1</v>
          </cell>
          <cell r="O827">
            <v>9</v>
          </cell>
          <cell r="P827">
            <v>10</v>
          </cell>
        </row>
        <row r="828">
          <cell r="F828">
            <v>6</v>
          </cell>
          <cell r="G828" t="b">
            <v>0</v>
          </cell>
          <cell r="N828">
            <v>1</v>
          </cell>
          <cell r="O828">
            <v>29</v>
          </cell>
          <cell r="P828">
            <v>30</v>
          </cell>
        </row>
        <row r="829">
          <cell r="F829">
            <v>7</v>
          </cell>
          <cell r="G829" t="b">
            <v>0</v>
          </cell>
          <cell r="N829">
            <v>6</v>
          </cell>
          <cell r="O829">
            <v>89</v>
          </cell>
          <cell r="P829">
            <v>95</v>
          </cell>
        </row>
        <row r="830">
          <cell r="F830">
            <v>8</v>
          </cell>
          <cell r="G830" t="b">
            <v>0</v>
          </cell>
          <cell r="N830">
            <v>7</v>
          </cell>
          <cell r="O830">
            <v>223</v>
          </cell>
          <cell r="P830">
            <v>230</v>
          </cell>
        </row>
        <row r="831">
          <cell r="F831">
            <v>9</v>
          </cell>
          <cell r="G831" t="b">
            <v>0</v>
          </cell>
          <cell r="N831">
            <v>3</v>
          </cell>
          <cell r="O831">
            <v>115</v>
          </cell>
          <cell r="P831">
            <v>118</v>
          </cell>
        </row>
        <row r="832">
          <cell r="F832">
            <v>10</v>
          </cell>
          <cell r="G832" t="b">
            <v>0</v>
          </cell>
          <cell r="N832">
            <v>6</v>
          </cell>
          <cell r="O832">
            <v>49</v>
          </cell>
          <cell r="P832">
            <v>55</v>
          </cell>
        </row>
        <row r="833">
          <cell r="F833">
            <v>11</v>
          </cell>
          <cell r="G833" t="b">
            <v>0</v>
          </cell>
          <cell r="N833">
            <v>11</v>
          </cell>
          <cell r="O833">
            <v>36</v>
          </cell>
          <cell r="P833">
            <v>47</v>
          </cell>
        </row>
        <row r="834">
          <cell r="F834">
            <v>12</v>
          </cell>
          <cell r="G834" t="b">
            <v>0</v>
          </cell>
          <cell r="N834">
            <v>7</v>
          </cell>
          <cell r="O834">
            <v>59</v>
          </cell>
          <cell r="P834">
            <v>66</v>
          </cell>
        </row>
        <row r="835">
          <cell r="F835">
            <v>13</v>
          </cell>
          <cell r="G835" t="b">
            <v>0</v>
          </cell>
          <cell r="N835">
            <v>10</v>
          </cell>
          <cell r="O835">
            <v>54</v>
          </cell>
          <cell r="P835">
            <v>64</v>
          </cell>
        </row>
        <row r="836">
          <cell r="F836">
            <v>14</v>
          </cell>
          <cell r="G836" t="b">
            <v>0</v>
          </cell>
          <cell r="N836">
            <v>8</v>
          </cell>
          <cell r="O836">
            <v>52</v>
          </cell>
          <cell r="P836">
            <v>60</v>
          </cell>
        </row>
        <row r="837">
          <cell r="F837">
            <v>15</v>
          </cell>
          <cell r="G837" t="b">
            <v>0</v>
          </cell>
          <cell r="N837">
            <v>4</v>
          </cell>
          <cell r="O837">
            <v>46</v>
          </cell>
          <cell r="P837">
            <v>50</v>
          </cell>
        </row>
        <row r="838">
          <cell r="F838">
            <v>16</v>
          </cell>
          <cell r="G838" t="b">
            <v>0</v>
          </cell>
          <cell r="N838">
            <v>16</v>
          </cell>
          <cell r="O838">
            <v>98</v>
          </cell>
          <cell r="P838">
            <v>114</v>
          </cell>
        </row>
        <row r="839">
          <cell r="F839">
            <v>17</v>
          </cell>
          <cell r="G839" t="b">
            <v>0</v>
          </cell>
          <cell r="N839">
            <v>9</v>
          </cell>
          <cell r="O839">
            <v>207</v>
          </cell>
          <cell r="P839">
            <v>216</v>
          </cell>
        </row>
        <row r="840">
          <cell r="F840">
            <v>18</v>
          </cell>
          <cell r="G840" t="b">
            <v>0</v>
          </cell>
          <cell r="N840">
            <v>5</v>
          </cell>
          <cell r="O840">
            <v>170</v>
          </cell>
          <cell r="P840">
            <v>175</v>
          </cell>
        </row>
        <row r="841">
          <cell r="F841">
            <v>19</v>
          </cell>
          <cell r="G841" t="b">
            <v>0</v>
          </cell>
          <cell r="N841">
            <v>5</v>
          </cell>
          <cell r="O841">
            <v>123</v>
          </cell>
          <cell r="P841">
            <v>128</v>
          </cell>
        </row>
        <row r="842">
          <cell r="F842">
            <v>20</v>
          </cell>
          <cell r="G842" t="b">
            <v>0</v>
          </cell>
          <cell r="N842">
            <v>6</v>
          </cell>
          <cell r="O842">
            <v>82</v>
          </cell>
          <cell r="P842">
            <v>88</v>
          </cell>
        </row>
        <row r="843">
          <cell r="F843">
            <v>21</v>
          </cell>
          <cell r="G843" t="b">
            <v>0</v>
          </cell>
          <cell r="N843">
            <v>3</v>
          </cell>
          <cell r="O843">
            <v>75</v>
          </cell>
          <cell r="P843">
            <v>78</v>
          </cell>
        </row>
        <row r="844">
          <cell r="F844">
            <v>22</v>
          </cell>
          <cell r="G844" t="b">
            <v>0</v>
          </cell>
          <cell r="N844">
            <v>3</v>
          </cell>
          <cell r="O844">
            <v>34</v>
          </cell>
          <cell r="P844">
            <v>37</v>
          </cell>
        </row>
        <row r="845">
          <cell r="F845">
            <v>23</v>
          </cell>
          <cell r="G845" t="b">
            <v>0</v>
          </cell>
          <cell r="N845">
            <v>6</v>
          </cell>
          <cell r="O845">
            <v>19</v>
          </cell>
          <cell r="P845">
            <v>25</v>
          </cell>
        </row>
        <row r="846">
          <cell r="F846">
            <v>0</v>
          </cell>
          <cell r="G846" t="b">
            <v>0</v>
          </cell>
          <cell r="N846">
            <v>4</v>
          </cell>
          <cell r="O846">
            <v>6</v>
          </cell>
          <cell r="P846">
            <v>10</v>
          </cell>
        </row>
        <row r="847">
          <cell r="F847">
            <v>1</v>
          </cell>
          <cell r="G847" t="b">
            <v>0</v>
          </cell>
          <cell r="N847">
            <v>0</v>
          </cell>
          <cell r="O847">
            <v>4</v>
          </cell>
          <cell r="P847">
            <v>4</v>
          </cell>
        </row>
        <row r="848">
          <cell r="F848">
            <v>2</v>
          </cell>
          <cell r="G848" t="b">
            <v>0</v>
          </cell>
          <cell r="N848">
            <v>1</v>
          </cell>
          <cell r="O848">
            <v>1</v>
          </cell>
          <cell r="P848">
            <v>2</v>
          </cell>
        </row>
        <row r="849">
          <cell r="F849">
            <v>3</v>
          </cell>
          <cell r="G849" t="b">
            <v>0</v>
          </cell>
          <cell r="N849">
            <v>0</v>
          </cell>
          <cell r="O849">
            <v>1</v>
          </cell>
          <cell r="P849">
            <v>1</v>
          </cell>
        </row>
        <row r="850">
          <cell r="F850">
            <v>4</v>
          </cell>
          <cell r="G850" t="b">
            <v>0</v>
          </cell>
          <cell r="N850">
            <v>0</v>
          </cell>
          <cell r="O850">
            <v>3</v>
          </cell>
          <cell r="P850">
            <v>3</v>
          </cell>
        </row>
        <row r="851">
          <cell r="F851">
            <v>5</v>
          </cell>
          <cell r="G851" t="b">
            <v>0</v>
          </cell>
          <cell r="N851">
            <v>0</v>
          </cell>
          <cell r="O851">
            <v>2</v>
          </cell>
          <cell r="P851">
            <v>2</v>
          </cell>
        </row>
        <row r="852">
          <cell r="F852">
            <v>6</v>
          </cell>
          <cell r="G852" t="b">
            <v>0</v>
          </cell>
          <cell r="N852">
            <v>0</v>
          </cell>
          <cell r="O852">
            <v>39</v>
          </cell>
          <cell r="P852">
            <v>39</v>
          </cell>
        </row>
        <row r="853">
          <cell r="F853">
            <v>7</v>
          </cell>
          <cell r="G853" t="b">
            <v>0</v>
          </cell>
          <cell r="N853">
            <v>3</v>
          </cell>
          <cell r="O853">
            <v>97</v>
          </cell>
          <cell r="P853">
            <v>100</v>
          </cell>
        </row>
        <row r="854">
          <cell r="F854">
            <v>8</v>
          </cell>
          <cell r="G854" t="b">
            <v>0</v>
          </cell>
          <cell r="N854">
            <v>7</v>
          </cell>
          <cell r="O854">
            <v>236</v>
          </cell>
          <cell r="P854">
            <v>243</v>
          </cell>
        </row>
        <row r="855">
          <cell r="F855">
            <v>9</v>
          </cell>
          <cell r="G855" t="b">
            <v>0</v>
          </cell>
          <cell r="N855">
            <v>7</v>
          </cell>
          <cell r="O855">
            <v>128</v>
          </cell>
          <cell r="P855">
            <v>135</v>
          </cell>
        </row>
        <row r="856">
          <cell r="F856">
            <v>10</v>
          </cell>
          <cell r="G856" t="b">
            <v>0</v>
          </cell>
          <cell r="N856">
            <v>4</v>
          </cell>
          <cell r="O856">
            <v>44</v>
          </cell>
          <cell r="P856">
            <v>48</v>
          </cell>
        </row>
        <row r="857">
          <cell r="F857">
            <v>11</v>
          </cell>
          <cell r="G857" t="b">
            <v>0</v>
          </cell>
          <cell r="N857">
            <v>1</v>
          </cell>
          <cell r="O857">
            <v>49</v>
          </cell>
          <cell r="P857">
            <v>50</v>
          </cell>
        </row>
        <row r="858">
          <cell r="F858">
            <v>12</v>
          </cell>
          <cell r="G858" t="b">
            <v>0</v>
          </cell>
          <cell r="N858">
            <v>2</v>
          </cell>
          <cell r="O858">
            <v>63</v>
          </cell>
          <cell r="P858">
            <v>65</v>
          </cell>
        </row>
        <row r="859">
          <cell r="F859">
            <v>13</v>
          </cell>
          <cell r="G859" t="b">
            <v>0</v>
          </cell>
          <cell r="N859">
            <v>2</v>
          </cell>
          <cell r="O859">
            <v>48</v>
          </cell>
          <cell r="P859">
            <v>50</v>
          </cell>
        </row>
        <row r="860">
          <cell r="F860">
            <v>14</v>
          </cell>
          <cell r="G860" t="b">
            <v>0</v>
          </cell>
          <cell r="N860">
            <v>3</v>
          </cell>
          <cell r="O860">
            <v>61</v>
          </cell>
          <cell r="P860">
            <v>64</v>
          </cell>
        </row>
        <row r="861">
          <cell r="F861">
            <v>15</v>
          </cell>
          <cell r="G861" t="b">
            <v>0</v>
          </cell>
          <cell r="N861">
            <v>6</v>
          </cell>
          <cell r="O861">
            <v>45</v>
          </cell>
          <cell r="P861">
            <v>51</v>
          </cell>
        </row>
        <row r="862">
          <cell r="F862">
            <v>16</v>
          </cell>
          <cell r="G862" t="b">
            <v>0</v>
          </cell>
          <cell r="N862">
            <v>4</v>
          </cell>
          <cell r="O862">
            <v>79</v>
          </cell>
          <cell r="P862">
            <v>83</v>
          </cell>
        </row>
        <row r="863">
          <cell r="F863">
            <v>17</v>
          </cell>
          <cell r="G863" t="b">
            <v>0</v>
          </cell>
          <cell r="N863">
            <v>4</v>
          </cell>
          <cell r="O863">
            <v>172</v>
          </cell>
          <cell r="P863">
            <v>176</v>
          </cell>
        </row>
        <row r="864">
          <cell r="F864">
            <v>18</v>
          </cell>
          <cell r="G864" t="b">
            <v>0</v>
          </cell>
          <cell r="N864">
            <v>1</v>
          </cell>
          <cell r="O864">
            <v>151</v>
          </cell>
          <cell r="P864">
            <v>152</v>
          </cell>
        </row>
        <row r="865">
          <cell r="F865">
            <v>19</v>
          </cell>
          <cell r="G865" t="b">
            <v>0</v>
          </cell>
          <cell r="N865">
            <v>1</v>
          </cell>
          <cell r="O865">
            <v>100</v>
          </cell>
          <cell r="P865">
            <v>101</v>
          </cell>
        </row>
        <row r="866">
          <cell r="F866">
            <v>20</v>
          </cell>
          <cell r="G866" t="b">
            <v>0</v>
          </cell>
          <cell r="N866">
            <v>3</v>
          </cell>
          <cell r="O866">
            <v>53</v>
          </cell>
          <cell r="P866">
            <v>56</v>
          </cell>
        </row>
        <row r="867">
          <cell r="F867">
            <v>21</v>
          </cell>
          <cell r="G867" t="b">
            <v>0</v>
          </cell>
          <cell r="N867">
            <v>8</v>
          </cell>
          <cell r="O867">
            <v>46</v>
          </cell>
          <cell r="P867">
            <v>54</v>
          </cell>
        </row>
        <row r="868">
          <cell r="F868">
            <v>22</v>
          </cell>
          <cell r="G868" t="b">
            <v>0</v>
          </cell>
          <cell r="N868">
            <v>0</v>
          </cell>
          <cell r="O868">
            <v>29</v>
          </cell>
          <cell r="P868">
            <v>29</v>
          </cell>
        </row>
        <row r="869">
          <cell r="F869">
            <v>23</v>
          </cell>
          <cell r="G869" t="b">
            <v>0</v>
          </cell>
          <cell r="N869">
            <v>3</v>
          </cell>
          <cell r="O869">
            <v>9</v>
          </cell>
          <cell r="P869">
            <v>12</v>
          </cell>
        </row>
        <row r="870">
          <cell r="F870">
            <v>0</v>
          </cell>
          <cell r="G870" t="b">
            <v>0</v>
          </cell>
          <cell r="N870">
            <v>0</v>
          </cell>
          <cell r="O870">
            <v>17</v>
          </cell>
          <cell r="P870">
            <v>17</v>
          </cell>
        </row>
        <row r="871">
          <cell r="F871">
            <v>1</v>
          </cell>
          <cell r="G871" t="b">
            <v>0</v>
          </cell>
          <cell r="N871">
            <v>0</v>
          </cell>
          <cell r="O871">
            <v>7</v>
          </cell>
          <cell r="P871">
            <v>7</v>
          </cell>
        </row>
        <row r="872">
          <cell r="F872">
            <v>2</v>
          </cell>
          <cell r="G872" t="b">
            <v>0</v>
          </cell>
          <cell r="N872">
            <v>1</v>
          </cell>
          <cell r="O872">
            <v>2</v>
          </cell>
          <cell r="P872">
            <v>3</v>
          </cell>
        </row>
        <row r="873">
          <cell r="F873">
            <v>3</v>
          </cell>
          <cell r="G873" t="b">
            <v>0</v>
          </cell>
          <cell r="N873">
            <v>0</v>
          </cell>
          <cell r="O873">
            <v>2</v>
          </cell>
          <cell r="P873">
            <v>2</v>
          </cell>
        </row>
        <row r="874">
          <cell r="F874">
            <v>5</v>
          </cell>
          <cell r="G874" t="b">
            <v>0</v>
          </cell>
          <cell r="N874">
            <v>0</v>
          </cell>
          <cell r="O874">
            <v>7</v>
          </cell>
          <cell r="P874">
            <v>7</v>
          </cell>
        </row>
        <row r="875">
          <cell r="F875">
            <v>6</v>
          </cell>
          <cell r="G875" t="b">
            <v>0</v>
          </cell>
          <cell r="N875">
            <v>0</v>
          </cell>
          <cell r="O875">
            <v>43</v>
          </cell>
          <cell r="P875">
            <v>43</v>
          </cell>
        </row>
        <row r="876">
          <cell r="F876">
            <v>7</v>
          </cell>
          <cell r="G876" t="b">
            <v>0</v>
          </cell>
          <cell r="N876">
            <v>4</v>
          </cell>
          <cell r="O876">
            <v>95</v>
          </cell>
          <cell r="P876">
            <v>99</v>
          </cell>
        </row>
        <row r="877">
          <cell r="F877">
            <v>8</v>
          </cell>
          <cell r="G877" t="b">
            <v>0</v>
          </cell>
          <cell r="N877">
            <v>1</v>
          </cell>
          <cell r="O877">
            <v>198</v>
          </cell>
          <cell r="P877">
            <v>199</v>
          </cell>
        </row>
        <row r="878">
          <cell r="F878">
            <v>9</v>
          </cell>
          <cell r="G878" t="b">
            <v>0</v>
          </cell>
          <cell r="N878">
            <v>4</v>
          </cell>
          <cell r="O878">
            <v>119</v>
          </cell>
          <cell r="P878">
            <v>123</v>
          </cell>
        </row>
        <row r="879">
          <cell r="F879">
            <v>10</v>
          </cell>
          <cell r="G879" t="b">
            <v>0</v>
          </cell>
          <cell r="N879">
            <v>8</v>
          </cell>
          <cell r="O879">
            <v>51</v>
          </cell>
          <cell r="P879">
            <v>59</v>
          </cell>
        </row>
        <row r="880">
          <cell r="F880">
            <v>11</v>
          </cell>
          <cell r="G880" t="b">
            <v>0</v>
          </cell>
          <cell r="N880">
            <v>1</v>
          </cell>
          <cell r="O880">
            <v>40</v>
          </cell>
          <cell r="P880">
            <v>41</v>
          </cell>
        </row>
        <row r="881">
          <cell r="F881">
            <v>12</v>
          </cell>
          <cell r="G881" t="b">
            <v>0</v>
          </cell>
          <cell r="N881">
            <v>4</v>
          </cell>
          <cell r="O881">
            <v>57</v>
          </cell>
          <cell r="P881">
            <v>61</v>
          </cell>
        </row>
        <row r="882">
          <cell r="F882">
            <v>13</v>
          </cell>
          <cell r="G882" t="b">
            <v>0</v>
          </cell>
          <cell r="N882">
            <v>2</v>
          </cell>
          <cell r="O882">
            <v>67</v>
          </cell>
          <cell r="P882">
            <v>69</v>
          </cell>
        </row>
        <row r="883">
          <cell r="F883">
            <v>14</v>
          </cell>
          <cell r="G883" t="b">
            <v>0</v>
          </cell>
          <cell r="N883">
            <v>2</v>
          </cell>
          <cell r="O883">
            <v>56</v>
          </cell>
          <cell r="P883">
            <v>58</v>
          </cell>
        </row>
        <row r="884">
          <cell r="F884">
            <v>15</v>
          </cell>
          <cell r="G884" t="b">
            <v>0</v>
          </cell>
          <cell r="N884">
            <v>3</v>
          </cell>
          <cell r="O884">
            <v>61</v>
          </cell>
          <cell r="P884">
            <v>64</v>
          </cell>
        </row>
        <row r="885">
          <cell r="F885">
            <v>16</v>
          </cell>
          <cell r="G885" t="b">
            <v>0</v>
          </cell>
          <cell r="N885">
            <v>7</v>
          </cell>
          <cell r="O885">
            <v>72</v>
          </cell>
          <cell r="P885">
            <v>79</v>
          </cell>
        </row>
        <row r="886">
          <cell r="F886">
            <v>17</v>
          </cell>
          <cell r="G886" t="b">
            <v>0</v>
          </cell>
          <cell r="N886">
            <v>9</v>
          </cell>
          <cell r="O886">
            <v>157</v>
          </cell>
          <cell r="P886">
            <v>166</v>
          </cell>
        </row>
        <row r="887">
          <cell r="F887">
            <v>18</v>
          </cell>
          <cell r="G887" t="b">
            <v>0</v>
          </cell>
          <cell r="N887">
            <v>2</v>
          </cell>
          <cell r="O887">
            <v>168</v>
          </cell>
          <cell r="P887">
            <v>170</v>
          </cell>
        </row>
        <row r="888">
          <cell r="F888">
            <v>19</v>
          </cell>
          <cell r="G888" t="b">
            <v>0</v>
          </cell>
          <cell r="N888">
            <v>1</v>
          </cell>
          <cell r="O888">
            <v>87</v>
          </cell>
          <cell r="P888">
            <v>88</v>
          </cell>
        </row>
        <row r="889">
          <cell r="F889">
            <v>20</v>
          </cell>
          <cell r="G889" t="b">
            <v>0</v>
          </cell>
          <cell r="N889">
            <v>0</v>
          </cell>
          <cell r="O889">
            <v>84</v>
          </cell>
          <cell r="P889">
            <v>84</v>
          </cell>
        </row>
        <row r="890">
          <cell r="F890">
            <v>21</v>
          </cell>
          <cell r="G890" t="b">
            <v>0</v>
          </cell>
          <cell r="N890">
            <v>0</v>
          </cell>
          <cell r="O890">
            <v>83</v>
          </cell>
          <cell r="P890">
            <v>83</v>
          </cell>
        </row>
        <row r="891">
          <cell r="F891">
            <v>22</v>
          </cell>
          <cell r="G891" t="b">
            <v>0</v>
          </cell>
          <cell r="N891">
            <v>4</v>
          </cell>
          <cell r="O891">
            <v>42</v>
          </cell>
          <cell r="P891">
            <v>46</v>
          </cell>
        </row>
        <row r="892">
          <cell r="F892">
            <v>23</v>
          </cell>
          <cell r="G892" t="b">
            <v>0</v>
          </cell>
          <cell r="N892">
            <v>0</v>
          </cell>
          <cell r="O892">
            <v>37</v>
          </cell>
          <cell r="P892">
            <v>37</v>
          </cell>
        </row>
        <row r="893">
          <cell r="F893">
            <v>0</v>
          </cell>
          <cell r="G893" t="b">
            <v>0</v>
          </cell>
          <cell r="N893">
            <v>0</v>
          </cell>
          <cell r="O893">
            <v>16</v>
          </cell>
          <cell r="P893">
            <v>16</v>
          </cell>
        </row>
        <row r="894">
          <cell r="F894">
            <v>1</v>
          </cell>
          <cell r="G894" t="b">
            <v>0</v>
          </cell>
          <cell r="N894">
            <v>0</v>
          </cell>
          <cell r="O894">
            <v>7</v>
          </cell>
          <cell r="P894">
            <v>7</v>
          </cell>
        </row>
        <row r="895">
          <cell r="F895">
            <v>2</v>
          </cell>
          <cell r="G895" t="b">
            <v>0</v>
          </cell>
          <cell r="N895">
            <v>0</v>
          </cell>
          <cell r="O895">
            <v>3</v>
          </cell>
          <cell r="P895">
            <v>3</v>
          </cell>
        </row>
        <row r="896">
          <cell r="F896">
            <v>4</v>
          </cell>
          <cell r="G896" t="b">
            <v>0</v>
          </cell>
          <cell r="N896">
            <v>0</v>
          </cell>
          <cell r="O896">
            <v>1</v>
          </cell>
          <cell r="P896">
            <v>1</v>
          </cell>
        </row>
        <row r="897">
          <cell r="F897">
            <v>5</v>
          </cell>
          <cell r="G897" t="b">
            <v>0</v>
          </cell>
          <cell r="N897">
            <v>0</v>
          </cell>
          <cell r="O897">
            <v>6</v>
          </cell>
          <cell r="P897">
            <v>6</v>
          </cell>
        </row>
        <row r="898">
          <cell r="F898">
            <v>6</v>
          </cell>
          <cell r="G898" t="b">
            <v>0</v>
          </cell>
          <cell r="N898">
            <v>0</v>
          </cell>
          <cell r="O898">
            <v>26</v>
          </cell>
          <cell r="P898">
            <v>26</v>
          </cell>
        </row>
        <row r="899">
          <cell r="F899">
            <v>7</v>
          </cell>
          <cell r="G899" t="b">
            <v>0</v>
          </cell>
          <cell r="N899">
            <v>0</v>
          </cell>
          <cell r="O899">
            <v>99</v>
          </cell>
          <cell r="P899">
            <v>99</v>
          </cell>
        </row>
        <row r="900">
          <cell r="F900">
            <v>8</v>
          </cell>
          <cell r="G900" t="b">
            <v>0</v>
          </cell>
          <cell r="N900">
            <v>5</v>
          </cell>
          <cell r="O900">
            <v>173</v>
          </cell>
          <cell r="P900">
            <v>178</v>
          </cell>
        </row>
        <row r="901">
          <cell r="F901">
            <v>9</v>
          </cell>
          <cell r="G901" t="b">
            <v>0</v>
          </cell>
          <cell r="N901">
            <v>1</v>
          </cell>
          <cell r="O901">
            <v>121</v>
          </cell>
          <cell r="P901">
            <v>122</v>
          </cell>
        </row>
        <row r="902">
          <cell r="F902">
            <v>10</v>
          </cell>
          <cell r="G902" t="b">
            <v>0</v>
          </cell>
          <cell r="N902">
            <v>1</v>
          </cell>
          <cell r="O902">
            <v>34</v>
          </cell>
          <cell r="P902">
            <v>35</v>
          </cell>
        </row>
        <row r="903">
          <cell r="F903">
            <v>11</v>
          </cell>
          <cell r="G903" t="b">
            <v>0</v>
          </cell>
          <cell r="N903">
            <v>1</v>
          </cell>
          <cell r="O903">
            <v>44</v>
          </cell>
          <cell r="P903">
            <v>45</v>
          </cell>
        </row>
        <row r="904">
          <cell r="F904">
            <v>12</v>
          </cell>
          <cell r="G904" t="b">
            <v>0</v>
          </cell>
          <cell r="N904">
            <v>4</v>
          </cell>
          <cell r="O904">
            <v>65</v>
          </cell>
          <cell r="P904">
            <v>69</v>
          </cell>
        </row>
        <row r="905">
          <cell r="F905">
            <v>13</v>
          </cell>
          <cell r="G905" t="b">
            <v>0</v>
          </cell>
          <cell r="N905">
            <v>3</v>
          </cell>
          <cell r="O905">
            <v>59</v>
          </cell>
          <cell r="P905">
            <v>62</v>
          </cell>
        </row>
        <row r="906">
          <cell r="F906">
            <v>14</v>
          </cell>
          <cell r="G906" t="b">
            <v>0</v>
          </cell>
          <cell r="N906">
            <v>6</v>
          </cell>
          <cell r="O906">
            <v>42</v>
          </cell>
          <cell r="P906">
            <v>48</v>
          </cell>
        </row>
        <row r="907">
          <cell r="F907">
            <v>15</v>
          </cell>
          <cell r="G907" t="b">
            <v>0</v>
          </cell>
          <cell r="N907">
            <v>0</v>
          </cell>
          <cell r="O907">
            <v>50</v>
          </cell>
          <cell r="P907">
            <v>50</v>
          </cell>
        </row>
        <row r="908">
          <cell r="F908">
            <v>16</v>
          </cell>
          <cell r="G908" t="b">
            <v>0</v>
          </cell>
          <cell r="N908">
            <v>4</v>
          </cell>
          <cell r="O908">
            <v>76</v>
          </cell>
          <cell r="P908">
            <v>80</v>
          </cell>
        </row>
        <row r="909">
          <cell r="F909">
            <v>17</v>
          </cell>
          <cell r="G909" t="b">
            <v>0</v>
          </cell>
          <cell r="N909">
            <v>6</v>
          </cell>
          <cell r="O909">
            <v>159</v>
          </cell>
          <cell r="P909">
            <v>165</v>
          </cell>
        </row>
        <row r="910">
          <cell r="F910">
            <v>18</v>
          </cell>
          <cell r="G910" t="b">
            <v>0</v>
          </cell>
          <cell r="N910">
            <v>3</v>
          </cell>
          <cell r="O910">
            <v>157</v>
          </cell>
          <cell r="P910">
            <v>160</v>
          </cell>
        </row>
        <row r="911">
          <cell r="F911">
            <v>19</v>
          </cell>
          <cell r="G911" t="b">
            <v>0</v>
          </cell>
          <cell r="N911">
            <v>2</v>
          </cell>
          <cell r="O911">
            <v>110</v>
          </cell>
          <cell r="P911">
            <v>112</v>
          </cell>
        </row>
        <row r="912">
          <cell r="F912">
            <v>20</v>
          </cell>
          <cell r="G912" t="b">
            <v>0</v>
          </cell>
          <cell r="N912">
            <v>4</v>
          </cell>
          <cell r="O912">
            <v>93</v>
          </cell>
          <cell r="P912">
            <v>97</v>
          </cell>
        </row>
        <row r="913">
          <cell r="F913">
            <v>21</v>
          </cell>
          <cell r="G913" t="b">
            <v>0</v>
          </cell>
          <cell r="N913">
            <v>2</v>
          </cell>
          <cell r="O913">
            <v>70</v>
          </cell>
          <cell r="P913">
            <v>72</v>
          </cell>
        </row>
        <row r="914">
          <cell r="F914">
            <v>22</v>
          </cell>
          <cell r="G914" t="b">
            <v>0</v>
          </cell>
          <cell r="N914">
            <v>4</v>
          </cell>
          <cell r="O914">
            <v>47</v>
          </cell>
          <cell r="P914">
            <v>51</v>
          </cell>
        </row>
        <row r="915">
          <cell r="F915">
            <v>23</v>
          </cell>
          <cell r="G915" t="b">
            <v>0</v>
          </cell>
          <cell r="N915">
            <v>1</v>
          </cell>
          <cell r="O915">
            <v>33</v>
          </cell>
          <cell r="P915">
            <v>34</v>
          </cell>
        </row>
        <row r="916">
          <cell r="F916">
            <v>0</v>
          </cell>
          <cell r="G916" t="b">
            <v>0</v>
          </cell>
          <cell r="N916">
            <v>2</v>
          </cell>
          <cell r="O916">
            <v>12</v>
          </cell>
          <cell r="P916">
            <v>14</v>
          </cell>
        </row>
        <row r="917">
          <cell r="F917">
            <v>1</v>
          </cell>
          <cell r="G917" t="b">
            <v>0</v>
          </cell>
          <cell r="N917">
            <v>1</v>
          </cell>
          <cell r="O917">
            <v>6</v>
          </cell>
          <cell r="P917">
            <v>7</v>
          </cell>
        </row>
        <row r="918">
          <cell r="F918">
            <v>2</v>
          </cell>
          <cell r="G918" t="b">
            <v>0</v>
          </cell>
          <cell r="N918">
            <v>0</v>
          </cell>
          <cell r="O918">
            <v>3</v>
          </cell>
          <cell r="P918">
            <v>3</v>
          </cell>
        </row>
        <row r="919">
          <cell r="F919">
            <v>5</v>
          </cell>
          <cell r="G919" t="b">
            <v>0</v>
          </cell>
          <cell r="N919">
            <v>0</v>
          </cell>
          <cell r="O919">
            <v>4</v>
          </cell>
          <cell r="P919">
            <v>4</v>
          </cell>
        </row>
        <row r="920">
          <cell r="F920">
            <v>6</v>
          </cell>
          <cell r="G920" t="b">
            <v>0</v>
          </cell>
          <cell r="N920">
            <v>1</v>
          </cell>
          <cell r="O920">
            <v>23</v>
          </cell>
          <cell r="P920">
            <v>24</v>
          </cell>
        </row>
        <row r="921">
          <cell r="F921">
            <v>7</v>
          </cell>
          <cell r="G921" t="b">
            <v>0</v>
          </cell>
          <cell r="N921">
            <v>1</v>
          </cell>
          <cell r="O921">
            <v>73</v>
          </cell>
          <cell r="P921">
            <v>74</v>
          </cell>
        </row>
        <row r="922">
          <cell r="F922">
            <v>8</v>
          </cell>
          <cell r="G922" t="b">
            <v>0</v>
          </cell>
          <cell r="N922">
            <v>4</v>
          </cell>
          <cell r="O922">
            <v>212</v>
          </cell>
          <cell r="P922">
            <v>216</v>
          </cell>
        </row>
        <row r="923">
          <cell r="F923">
            <v>9</v>
          </cell>
          <cell r="G923" t="b">
            <v>0</v>
          </cell>
          <cell r="N923">
            <v>8</v>
          </cell>
          <cell r="O923">
            <v>132</v>
          </cell>
          <cell r="P923">
            <v>140</v>
          </cell>
        </row>
        <row r="924">
          <cell r="F924">
            <v>10</v>
          </cell>
          <cell r="G924" t="b">
            <v>0</v>
          </cell>
          <cell r="N924">
            <v>5</v>
          </cell>
          <cell r="O924">
            <v>39</v>
          </cell>
          <cell r="P924">
            <v>44</v>
          </cell>
        </row>
        <row r="925">
          <cell r="F925">
            <v>11</v>
          </cell>
          <cell r="G925" t="b">
            <v>0</v>
          </cell>
          <cell r="N925">
            <v>12</v>
          </cell>
          <cell r="O925">
            <v>52</v>
          </cell>
          <cell r="P925">
            <v>64</v>
          </cell>
        </row>
        <row r="926">
          <cell r="F926">
            <v>12</v>
          </cell>
          <cell r="G926" t="b">
            <v>0</v>
          </cell>
          <cell r="N926">
            <v>7</v>
          </cell>
          <cell r="O926">
            <v>64</v>
          </cell>
          <cell r="P926">
            <v>71</v>
          </cell>
        </row>
        <row r="927">
          <cell r="F927">
            <v>13</v>
          </cell>
          <cell r="G927" t="b">
            <v>0</v>
          </cell>
          <cell r="N927">
            <v>21</v>
          </cell>
          <cell r="O927">
            <v>89</v>
          </cell>
          <cell r="P927">
            <v>110</v>
          </cell>
        </row>
        <row r="928">
          <cell r="F928">
            <v>14</v>
          </cell>
          <cell r="G928" t="b">
            <v>0</v>
          </cell>
          <cell r="N928">
            <v>17</v>
          </cell>
          <cell r="O928">
            <v>67</v>
          </cell>
          <cell r="P928">
            <v>84</v>
          </cell>
        </row>
        <row r="929">
          <cell r="F929">
            <v>15</v>
          </cell>
          <cell r="G929" t="b">
            <v>0</v>
          </cell>
          <cell r="N929">
            <v>12</v>
          </cell>
          <cell r="O929">
            <v>62</v>
          </cell>
          <cell r="P929">
            <v>74</v>
          </cell>
        </row>
        <row r="930">
          <cell r="F930">
            <v>16</v>
          </cell>
          <cell r="G930" t="b">
            <v>0</v>
          </cell>
          <cell r="N930">
            <v>14</v>
          </cell>
          <cell r="O930">
            <v>111</v>
          </cell>
          <cell r="P930">
            <v>125</v>
          </cell>
        </row>
        <row r="931">
          <cell r="F931">
            <v>17</v>
          </cell>
          <cell r="G931" t="b">
            <v>0</v>
          </cell>
          <cell r="N931">
            <v>18</v>
          </cell>
          <cell r="O931">
            <v>193</v>
          </cell>
          <cell r="P931">
            <v>211</v>
          </cell>
        </row>
        <row r="932">
          <cell r="F932">
            <v>18</v>
          </cell>
          <cell r="G932" t="b">
            <v>0</v>
          </cell>
          <cell r="N932">
            <v>9</v>
          </cell>
          <cell r="O932">
            <v>165</v>
          </cell>
          <cell r="P932">
            <v>174</v>
          </cell>
        </row>
        <row r="933">
          <cell r="F933">
            <v>19</v>
          </cell>
          <cell r="G933" t="b">
            <v>0</v>
          </cell>
          <cell r="N933">
            <v>7</v>
          </cell>
          <cell r="O933">
            <v>94</v>
          </cell>
          <cell r="P933">
            <v>101</v>
          </cell>
        </row>
        <row r="934">
          <cell r="F934">
            <v>20</v>
          </cell>
          <cell r="G934" t="b">
            <v>0</v>
          </cell>
          <cell r="N934">
            <v>2</v>
          </cell>
          <cell r="O934">
            <v>61</v>
          </cell>
          <cell r="P934">
            <v>63</v>
          </cell>
        </row>
        <row r="935">
          <cell r="F935">
            <v>21</v>
          </cell>
          <cell r="G935" t="b">
            <v>0</v>
          </cell>
          <cell r="N935">
            <v>1</v>
          </cell>
          <cell r="O935">
            <v>46</v>
          </cell>
          <cell r="P935">
            <v>47</v>
          </cell>
        </row>
        <row r="936">
          <cell r="F936">
            <v>22</v>
          </cell>
          <cell r="G936" t="b">
            <v>0</v>
          </cell>
          <cell r="N936">
            <v>2</v>
          </cell>
          <cell r="O936">
            <v>41</v>
          </cell>
          <cell r="P936">
            <v>43</v>
          </cell>
        </row>
        <row r="937">
          <cell r="F937">
            <v>23</v>
          </cell>
          <cell r="G937" t="b">
            <v>0</v>
          </cell>
          <cell r="N937">
            <v>5</v>
          </cell>
          <cell r="O937">
            <v>48</v>
          </cell>
          <cell r="P937">
            <v>53</v>
          </cell>
        </row>
        <row r="938">
          <cell r="F938">
            <v>0</v>
          </cell>
          <cell r="G938" t="b">
            <v>0</v>
          </cell>
          <cell r="N938">
            <v>3</v>
          </cell>
          <cell r="O938">
            <v>27</v>
          </cell>
          <cell r="P938">
            <v>30</v>
          </cell>
        </row>
        <row r="939">
          <cell r="F939">
            <v>1</v>
          </cell>
          <cell r="G939" t="b">
            <v>0</v>
          </cell>
          <cell r="N939">
            <v>2</v>
          </cell>
          <cell r="O939">
            <v>22</v>
          </cell>
          <cell r="P939">
            <v>24</v>
          </cell>
        </row>
        <row r="940">
          <cell r="F940">
            <v>2</v>
          </cell>
          <cell r="G940" t="b">
            <v>0</v>
          </cell>
          <cell r="N940">
            <v>2</v>
          </cell>
          <cell r="O940">
            <v>13</v>
          </cell>
          <cell r="P940">
            <v>15</v>
          </cell>
        </row>
        <row r="941">
          <cell r="F941">
            <v>3</v>
          </cell>
          <cell r="G941" t="b">
            <v>0</v>
          </cell>
          <cell r="N941">
            <v>3</v>
          </cell>
          <cell r="O941">
            <v>7</v>
          </cell>
          <cell r="P941">
            <v>10</v>
          </cell>
        </row>
        <row r="942">
          <cell r="F942">
            <v>4</v>
          </cell>
          <cell r="G942" t="b">
            <v>0</v>
          </cell>
          <cell r="N942">
            <v>0</v>
          </cell>
          <cell r="O942">
            <v>4</v>
          </cell>
          <cell r="P942">
            <v>4</v>
          </cell>
        </row>
        <row r="943">
          <cell r="F943">
            <v>5</v>
          </cell>
          <cell r="G943" t="b">
            <v>0</v>
          </cell>
          <cell r="N943">
            <v>0</v>
          </cell>
          <cell r="O943">
            <v>1</v>
          </cell>
          <cell r="P943">
            <v>1</v>
          </cell>
        </row>
        <row r="944">
          <cell r="F944">
            <v>6</v>
          </cell>
          <cell r="G944" t="b">
            <v>0</v>
          </cell>
          <cell r="N944">
            <v>1</v>
          </cell>
          <cell r="O944">
            <v>1</v>
          </cell>
          <cell r="P944">
            <v>2</v>
          </cell>
        </row>
        <row r="945">
          <cell r="F945">
            <v>7</v>
          </cell>
          <cell r="G945" t="b">
            <v>0</v>
          </cell>
          <cell r="N945">
            <v>2</v>
          </cell>
          <cell r="O945">
            <v>9</v>
          </cell>
          <cell r="P945">
            <v>11</v>
          </cell>
        </row>
        <row r="946">
          <cell r="F946">
            <v>8</v>
          </cell>
          <cell r="G946" t="b">
            <v>0</v>
          </cell>
          <cell r="N946">
            <v>2</v>
          </cell>
          <cell r="O946">
            <v>28</v>
          </cell>
          <cell r="P946">
            <v>30</v>
          </cell>
        </row>
        <row r="947">
          <cell r="F947">
            <v>9</v>
          </cell>
          <cell r="G947" t="b">
            <v>0</v>
          </cell>
          <cell r="N947">
            <v>5</v>
          </cell>
          <cell r="O947">
            <v>38</v>
          </cell>
          <cell r="P947">
            <v>43</v>
          </cell>
        </row>
        <row r="948">
          <cell r="F948">
            <v>10</v>
          </cell>
          <cell r="G948" t="b">
            <v>0</v>
          </cell>
          <cell r="N948">
            <v>13</v>
          </cell>
          <cell r="O948">
            <v>71</v>
          </cell>
          <cell r="P948">
            <v>84</v>
          </cell>
        </row>
        <row r="949">
          <cell r="F949">
            <v>11</v>
          </cell>
          <cell r="G949" t="b">
            <v>0</v>
          </cell>
          <cell r="N949">
            <v>30</v>
          </cell>
          <cell r="O949">
            <v>84</v>
          </cell>
          <cell r="P949">
            <v>114</v>
          </cell>
        </row>
        <row r="950">
          <cell r="F950">
            <v>12</v>
          </cell>
          <cell r="G950" t="b">
            <v>0</v>
          </cell>
          <cell r="N950">
            <v>27</v>
          </cell>
          <cell r="O950">
            <v>93</v>
          </cell>
          <cell r="P950">
            <v>120</v>
          </cell>
        </row>
        <row r="951">
          <cell r="F951">
            <v>13</v>
          </cell>
          <cell r="G951" t="b">
            <v>0</v>
          </cell>
          <cell r="N951">
            <v>32</v>
          </cell>
          <cell r="O951">
            <v>103</v>
          </cell>
          <cell r="P951">
            <v>135</v>
          </cell>
        </row>
        <row r="952">
          <cell r="F952">
            <v>14</v>
          </cell>
          <cell r="G952" t="b">
            <v>0</v>
          </cell>
          <cell r="N952">
            <v>30</v>
          </cell>
          <cell r="O952">
            <v>90</v>
          </cell>
          <cell r="P952">
            <v>120</v>
          </cell>
        </row>
        <row r="953">
          <cell r="F953">
            <v>15</v>
          </cell>
          <cell r="G953" t="b">
            <v>0</v>
          </cell>
          <cell r="N953">
            <v>47</v>
          </cell>
          <cell r="O953">
            <v>127</v>
          </cell>
          <cell r="P953">
            <v>174</v>
          </cell>
        </row>
        <row r="954">
          <cell r="F954">
            <v>16</v>
          </cell>
          <cell r="G954" t="b">
            <v>0</v>
          </cell>
          <cell r="N954">
            <v>42</v>
          </cell>
          <cell r="O954">
            <v>103</v>
          </cell>
          <cell r="P954">
            <v>145</v>
          </cell>
        </row>
        <row r="955">
          <cell r="F955">
            <v>17</v>
          </cell>
          <cell r="G955" t="b">
            <v>0</v>
          </cell>
          <cell r="N955">
            <v>24</v>
          </cell>
          <cell r="O955">
            <v>113</v>
          </cell>
          <cell r="P955">
            <v>137</v>
          </cell>
        </row>
        <row r="956">
          <cell r="F956">
            <v>18</v>
          </cell>
          <cell r="G956" t="b">
            <v>0</v>
          </cell>
          <cell r="N956">
            <v>4</v>
          </cell>
          <cell r="O956">
            <v>60</v>
          </cell>
          <cell r="P956">
            <v>64</v>
          </cell>
        </row>
        <row r="957">
          <cell r="F957">
            <v>19</v>
          </cell>
          <cell r="G957" t="b">
            <v>0</v>
          </cell>
          <cell r="N957">
            <v>2</v>
          </cell>
          <cell r="O957">
            <v>39</v>
          </cell>
          <cell r="P957">
            <v>41</v>
          </cell>
        </row>
        <row r="958">
          <cell r="F958">
            <v>20</v>
          </cell>
          <cell r="G958" t="b">
            <v>0</v>
          </cell>
          <cell r="N958">
            <v>1</v>
          </cell>
          <cell r="O958">
            <v>39</v>
          </cell>
          <cell r="P958">
            <v>40</v>
          </cell>
        </row>
        <row r="959">
          <cell r="F959">
            <v>21</v>
          </cell>
          <cell r="G959" t="b">
            <v>0</v>
          </cell>
          <cell r="N959">
            <v>9</v>
          </cell>
          <cell r="O959">
            <v>42</v>
          </cell>
          <cell r="P959">
            <v>51</v>
          </cell>
        </row>
        <row r="960">
          <cell r="F960">
            <v>22</v>
          </cell>
          <cell r="G960" t="b">
            <v>0</v>
          </cell>
          <cell r="N960">
            <v>6</v>
          </cell>
          <cell r="O960">
            <v>39</v>
          </cell>
          <cell r="P960">
            <v>45</v>
          </cell>
        </row>
        <row r="961">
          <cell r="F961">
            <v>23</v>
          </cell>
          <cell r="G961" t="b">
            <v>0</v>
          </cell>
          <cell r="N961">
            <v>1</v>
          </cell>
          <cell r="O961">
            <v>31</v>
          </cell>
          <cell r="P961">
            <v>32</v>
          </cell>
        </row>
        <row r="962">
          <cell r="F962">
            <v>0</v>
          </cell>
          <cell r="G962" t="b">
            <v>0</v>
          </cell>
          <cell r="N962">
            <v>5</v>
          </cell>
          <cell r="O962">
            <v>34</v>
          </cell>
          <cell r="P962">
            <v>39</v>
          </cell>
        </row>
        <row r="963">
          <cell r="F963">
            <v>1</v>
          </cell>
          <cell r="G963" t="b">
            <v>0</v>
          </cell>
          <cell r="N963">
            <v>1</v>
          </cell>
          <cell r="O963">
            <v>23</v>
          </cell>
          <cell r="P963">
            <v>24</v>
          </cell>
        </row>
        <row r="964">
          <cell r="F964">
            <v>2</v>
          </cell>
          <cell r="G964" t="b">
            <v>0</v>
          </cell>
          <cell r="N964">
            <v>1</v>
          </cell>
          <cell r="O964">
            <v>19</v>
          </cell>
          <cell r="P964">
            <v>20</v>
          </cell>
        </row>
        <row r="965">
          <cell r="F965">
            <v>3</v>
          </cell>
          <cell r="G965" t="b">
            <v>0</v>
          </cell>
          <cell r="N965">
            <v>4</v>
          </cell>
          <cell r="O965">
            <v>8</v>
          </cell>
          <cell r="P965">
            <v>12</v>
          </cell>
        </row>
        <row r="966">
          <cell r="F966">
            <v>4</v>
          </cell>
          <cell r="G966" t="b">
            <v>0</v>
          </cell>
          <cell r="N966">
            <v>0</v>
          </cell>
          <cell r="O966">
            <v>2</v>
          </cell>
          <cell r="P966">
            <v>2</v>
          </cell>
        </row>
        <row r="967">
          <cell r="F967">
            <v>6</v>
          </cell>
          <cell r="G967" t="b">
            <v>0</v>
          </cell>
          <cell r="N967">
            <v>2</v>
          </cell>
          <cell r="O967">
            <v>3</v>
          </cell>
          <cell r="P967">
            <v>5</v>
          </cell>
        </row>
        <row r="968">
          <cell r="F968">
            <v>7</v>
          </cell>
          <cell r="G968" t="b">
            <v>0</v>
          </cell>
          <cell r="N968">
            <v>0</v>
          </cell>
          <cell r="O968">
            <v>3</v>
          </cell>
          <cell r="P968">
            <v>3</v>
          </cell>
        </row>
        <row r="969">
          <cell r="F969">
            <v>8</v>
          </cell>
          <cell r="G969" t="b">
            <v>0</v>
          </cell>
          <cell r="N969">
            <v>1</v>
          </cell>
          <cell r="O969">
            <v>11</v>
          </cell>
          <cell r="P969">
            <v>12</v>
          </cell>
        </row>
        <row r="970">
          <cell r="F970">
            <v>9</v>
          </cell>
          <cell r="G970" t="b">
            <v>0</v>
          </cell>
          <cell r="N970">
            <v>12</v>
          </cell>
          <cell r="O970">
            <v>35</v>
          </cell>
          <cell r="P970">
            <v>47</v>
          </cell>
        </row>
        <row r="971">
          <cell r="F971">
            <v>10</v>
          </cell>
          <cell r="G971" t="b">
            <v>0</v>
          </cell>
          <cell r="N971">
            <v>19</v>
          </cell>
          <cell r="O971">
            <v>86</v>
          </cell>
          <cell r="P971">
            <v>105</v>
          </cell>
        </row>
        <row r="972">
          <cell r="F972">
            <v>11</v>
          </cell>
          <cell r="G972" t="b">
            <v>0</v>
          </cell>
          <cell r="N972">
            <v>26</v>
          </cell>
          <cell r="O972">
            <v>86</v>
          </cell>
          <cell r="P972">
            <v>112</v>
          </cell>
        </row>
        <row r="973">
          <cell r="F973">
            <v>12</v>
          </cell>
          <cell r="G973" t="b">
            <v>0</v>
          </cell>
          <cell r="N973">
            <v>58</v>
          </cell>
          <cell r="O973">
            <v>94</v>
          </cell>
          <cell r="P973">
            <v>152</v>
          </cell>
        </row>
        <row r="974">
          <cell r="F974">
            <v>13</v>
          </cell>
          <cell r="G974" t="b">
            <v>0</v>
          </cell>
          <cell r="N974">
            <v>62</v>
          </cell>
          <cell r="O974">
            <v>92</v>
          </cell>
          <cell r="P974">
            <v>154</v>
          </cell>
        </row>
        <row r="975">
          <cell r="F975">
            <v>14</v>
          </cell>
          <cell r="G975" t="b">
            <v>0</v>
          </cell>
          <cell r="N975">
            <v>51</v>
          </cell>
          <cell r="O975">
            <v>110</v>
          </cell>
          <cell r="P975">
            <v>161</v>
          </cell>
        </row>
        <row r="976">
          <cell r="F976">
            <v>15</v>
          </cell>
          <cell r="G976" t="b">
            <v>0</v>
          </cell>
          <cell r="N976">
            <v>40</v>
          </cell>
          <cell r="O976">
            <v>122</v>
          </cell>
          <cell r="P976">
            <v>162</v>
          </cell>
        </row>
        <row r="977">
          <cell r="F977">
            <v>16</v>
          </cell>
          <cell r="G977" t="b">
            <v>0</v>
          </cell>
          <cell r="N977">
            <v>28</v>
          </cell>
          <cell r="O977">
            <v>106</v>
          </cell>
          <cell r="P977">
            <v>134</v>
          </cell>
        </row>
        <row r="978">
          <cell r="F978">
            <v>17</v>
          </cell>
          <cell r="G978" t="b">
            <v>0</v>
          </cell>
          <cell r="N978">
            <v>30</v>
          </cell>
          <cell r="O978">
            <v>95</v>
          </cell>
          <cell r="P978">
            <v>125</v>
          </cell>
        </row>
        <row r="979">
          <cell r="F979">
            <v>18</v>
          </cell>
          <cell r="G979" t="b">
            <v>0</v>
          </cell>
          <cell r="N979">
            <v>17</v>
          </cell>
          <cell r="O979">
            <v>78</v>
          </cell>
          <cell r="P979">
            <v>95</v>
          </cell>
        </row>
        <row r="980">
          <cell r="F980">
            <v>19</v>
          </cell>
          <cell r="G980" t="b">
            <v>0</v>
          </cell>
          <cell r="N980">
            <v>11</v>
          </cell>
          <cell r="O980">
            <v>50</v>
          </cell>
          <cell r="P980">
            <v>61</v>
          </cell>
        </row>
        <row r="981">
          <cell r="F981">
            <v>20</v>
          </cell>
          <cell r="G981" t="b">
            <v>0</v>
          </cell>
          <cell r="N981">
            <v>15</v>
          </cell>
          <cell r="O981">
            <v>32</v>
          </cell>
          <cell r="P981">
            <v>47</v>
          </cell>
        </row>
        <row r="982">
          <cell r="F982">
            <v>21</v>
          </cell>
          <cell r="G982" t="b">
            <v>0</v>
          </cell>
          <cell r="N982">
            <v>6</v>
          </cell>
          <cell r="O982">
            <v>45</v>
          </cell>
          <cell r="P982">
            <v>51</v>
          </cell>
        </row>
        <row r="983">
          <cell r="F983">
            <v>22</v>
          </cell>
          <cell r="G983" t="b">
            <v>0</v>
          </cell>
          <cell r="N983">
            <v>5</v>
          </cell>
          <cell r="O983">
            <v>31</v>
          </cell>
          <cell r="P983">
            <v>36</v>
          </cell>
        </row>
        <row r="984">
          <cell r="F984">
            <v>23</v>
          </cell>
          <cell r="G984" t="b">
            <v>0</v>
          </cell>
          <cell r="N984">
            <v>3</v>
          </cell>
          <cell r="O984">
            <v>27</v>
          </cell>
          <cell r="P984">
            <v>30</v>
          </cell>
        </row>
        <row r="985">
          <cell r="F985">
            <v>0</v>
          </cell>
          <cell r="G985" t="b">
            <v>0</v>
          </cell>
          <cell r="N985">
            <v>3</v>
          </cell>
          <cell r="O985">
            <v>8</v>
          </cell>
          <cell r="P985">
            <v>11</v>
          </cell>
        </row>
        <row r="986">
          <cell r="F986">
            <v>1</v>
          </cell>
          <cell r="G986" t="b">
            <v>0</v>
          </cell>
          <cell r="N986">
            <v>1</v>
          </cell>
          <cell r="O986">
            <v>6</v>
          </cell>
          <cell r="P986">
            <v>7</v>
          </cell>
        </row>
        <row r="987">
          <cell r="F987">
            <v>2</v>
          </cell>
          <cell r="G987" t="b">
            <v>0</v>
          </cell>
          <cell r="N987">
            <v>0</v>
          </cell>
          <cell r="O987">
            <v>2</v>
          </cell>
          <cell r="P987">
            <v>2</v>
          </cell>
        </row>
        <row r="988">
          <cell r="F988">
            <v>3</v>
          </cell>
          <cell r="G988" t="b">
            <v>0</v>
          </cell>
          <cell r="N988">
            <v>1</v>
          </cell>
          <cell r="O988">
            <v>1</v>
          </cell>
          <cell r="P988">
            <v>2</v>
          </cell>
        </row>
        <row r="989">
          <cell r="F989">
            <v>4</v>
          </cell>
          <cell r="G989" t="b">
            <v>0</v>
          </cell>
          <cell r="N989">
            <v>0</v>
          </cell>
          <cell r="O989">
            <v>2</v>
          </cell>
          <cell r="P989">
            <v>2</v>
          </cell>
        </row>
        <row r="990">
          <cell r="F990">
            <v>5</v>
          </cell>
          <cell r="G990" t="b">
            <v>0</v>
          </cell>
          <cell r="N990">
            <v>0</v>
          </cell>
          <cell r="O990">
            <v>3</v>
          </cell>
          <cell r="P990">
            <v>3</v>
          </cell>
        </row>
        <row r="991">
          <cell r="F991">
            <v>6</v>
          </cell>
          <cell r="G991" t="b">
            <v>0</v>
          </cell>
          <cell r="N991">
            <v>1</v>
          </cell>
          <cell r="O991">
            <v>25</v>
          </cell>
          <cell r="P991">
            <v>26</v>
          </cell>
        </row>
        <row r="992">
          <cell r="F992">
            <v>7</v>
          </cell>
          <cell r="G992" t="b">
            <v>0</v>
          </cell>
          <cell r="N992">
            <v>2</v>
          </cell>
          <cell r="O992">
            <v>96</v>
          </cell>
          <cell r="P992">
            <v>98</v>
          </cell>
        </row>
        <row r="993">
          <cell r="F993">
            <v>16</v>
          </cell>
          <cell r="G993" t="b">
            <v>0</v>
          </cell>
          <cell r="N993">
            <v>10</v>
          </cell>
          <cell r="O993">
            <v>70</v>
          </cell>
          <cell r="P993">
            <v>80</v>
          </cell>
        </row>
        <row r="994">
          <cell r="F994">
            <v>17</v>
          </cell>
          <cell r="G994" t="b">
            <v>0</v>
          </cell>
          <cell r="N994">
            <v>2</v>
          </cell>
          <cell r="O994">
            <v>147</v>
          </cell>
          <cell r="P994">
            <v>149</v>
          </cell>
        </row>
        <row r="995">
          <cell r="F995">
            <v>18</v>
          </cell>
          <cell r="G995" t="b">
            <v>0</v>
          </cell>
          <cell r="N995">
            <v>2</v>
          </cell>
          <cell r="O995">
            <v>107</v>
          </cell>
          <cell r="P995">
            <v>109</v>
          </cell>
        </row>
        <row r="996">
          <cell r="F996">
            <v>19</v>
          </cell>
          <cell r="G996" t="b">
            <v>0</v>
          </cell>
          <cell r="N996">
            <v>5</v>
          </cell>
          <cell r="O996">
            <v>84</v>
          </cell>
          <cell r="P996">
            <v>89</v>
          </cell>
        </row>
        <row r="997">
          <cell r="F997">
            <v>20</v>
          </cell>
          <cell r="G997" t="b">
            <v>0</v>
          </cell>
          <cell r="N997">
            <v>1</v>
          </cell>
          <cell r="O997">
            <v>61</v>
          </cell>
          <cell r="P997">
            <v>62</v>
          </cell>
        </row>
        <row r="998">
          <cell r="F998">
            <v>21</v>
          </cell>
          <cell r="G998" t="b">
            <v>0</v>
          </cell>
          <cell r="N998">
            <v>1</v>
          </cell>
          <cell r="O998">
            <v>57</v>
          </cell>
          <cell r="P998">
            <v>58</v>
          </cell>
        </row>
        <row r="999">
          <cell r="F999">
            <v>22</v>
          </cell>
          <cell r="G999" t="b">
            <v>0</v>
          </cell>
          <cell r="N999">
            <v>0</v>
          </cell>
          <cell r="O999">
            <v>26</v>
          </cell>
          <cell r="P999">
            <v>26</v>
          </cell>
        </row>
        <row r="1000">
          <cell r="F1000">
            <v>23</v>
          </cell>
          <cell r="G1000" t="b">
            <v>0</v>
          </cell>
          <cell r="N1000">
            <v>1</v>
          </cell>
          <cell r="O1000">
            <v>22</v>
          </cell>
          <cell r="P1000">
            <v>23</v>
          </cell>
        </row>
        <row r="1001">
          <cell r="F1001">
            <v>0</v>
          </cell>
          <cell r="G1001" t="b">
            <v>0</v>
          </cell>
          <cell r="N1001">
            <v>2</v>
          </cell>
          <cell r="O1001">
            <v>26</v>
          </cell>
          <cell r="P1001">
            <v>28</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DATA%20SC%20Project/Project%201/ProjectFinal/Project%20Work%20Main-New.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1.392666435182" createdVersion="7" refreshedVersion="7" minRefreshableVersion="3" recordCount="1001" xr:uid="{DAE75542-2DBD-4265-AA8C-2617F46D7A3B}">
  <cacheSource type="worksheet">
    <worksheetSource ref="A1:W1048576" sheet="Final Dataset" r:id="rId2"/>
  </cacheSource>
  <cacheFields count="23">
    <cacheField name="instant" numFmtId="0">
      <sharedItems containsString="0" containsBlank="1" containsNumber="1" containsInteger="1" minValue="1" maxValue="1000"/>
    </cacheField>
    <cacheField name="dteday" numFmtId="0">
      <sharedItems containsNonDate="0" containsDate="1" containsString="0" containsBlank="1" minDate="2011-01-01T00:00:00" maxDate="2011-02-15T00:00:00"/>
    </cacheField>
    <cacheField name="season" numFmtId="0">
      <sharedItems containsString="0" containsBlank="1" containsNumber="1" containsInteger="1" minValue="1" maxValue="1"/>
    </cacheField>
    <cacheField name="yr" numFmtId="0">
      <sharedItems containsString="0" containsBlank="1" containsNumber="1" containsInteger="1" minValue="0" maxValue="0"/>
    </cacheField>
    <cacheField name="mnth" numFmtId="0">
      <sharedItems containsString="0" containsBlank="1" containsNumber="1" containsInteger="1" minValue="1" maxValue="2"/>
    </cacheField>
    <cacheField name="hr" numFmtId="0">
      <sharedItems containsString="0" containsBlank="1" containsNumber="1" containsInteger="1" minValue="0" maxValue="23" count="25">
        <n v="0"/>
        <n v="1"/>
        <n v="2"/>
        <n v="3"/>
        <n v="4"/>
        <n v="5"/>
        <n v="6"/>
        <n v="7"/>
        <n v="8"/>
        <n v="9"/>
        <n v="10"/>
        <n v="11"/>
        <n v="12"/>
        <n v="13"/>
        <n v="14"/>
        <n v="15"/>
        <n v="16"/>
        <n v="17"/>
        <n v="18"/>
        <n v="19"/>
        <n v="20"/>
        <n v="21"/>
        <n v="22"/>
        <n v="23"/>
        <m/>
      </sharedItems>
    </cacheField>
    <cacheField name="holiday" numFmtId="0">
      <sharedItems containsBlank="1" count="3">
        <b v="0"/>
        <b v="1"/>
        <m/>
      </sharedItems>
    </cacheField>
    <cacheField name="weekday" numFmtId="0">
      <sharedItems containsString="0" containsBlank="1" containsNumber="1" containsInteger="1" minValue="0" maxValue="6" count="8">
        <n v="6"/>
        <n v="0"/>
        <n v="1"/>
        <n v="2"/>
        <n v="3"/>
        <n v="4"/>
        <n v="5"/>
        <m/>
      </sharedItems>
    </cacheField>
    <cacheField name="weathersit" numFmtId="0">
      <sharedItems containsString="0" containsBlank="1" containsNumber="1" containsInteger="1" minValue="1" maxValue="4"/>
    </cacheField>
    <cacheField name="temp" numFmtId="0">
      <sharedItems containsString="0" containsBlank="1" containsNumber="1" minValue="0.02" maxValue="0.46"/>
    </cacheField>
    <cacheField name="atemp" numFmtId="0">
      <sharedItems containsString="0" containsBlank="1" containsNumber="1" minValue="0" maxValue="0.45450000000000002"/>
    </cacheField>
    <cacheField name="hum" numFmtId="0">
      <sharedItems containsString="0" containsBlank="1" containsNumber="1" minValue="0.21" maxValue="1"/>
    </cacheField>
    <cacheField name="windspeed" numFmtId="0">
      <sharedItems containsString="0" containsBlank="1" containsNumber="1" minValue="0" maxValue="0.58209999999999995"/>
    </cacheField>
    <cacheField name="casual" numFmtId="0">
      <sharedItems containsString="0" containsBlank="1" containsNumber="1" containsInteger="1" minValue="0" maxValue="62"/>
    </cacheField>
    <cacheField name="registered" numFmtId="0">
      <sharedItems containsString="0" containsBlank="1" containsNumber="1" containsInteger="1" minValue="0" maxValue="247"/>
    </cacheField>
    <cacheField name="cnt" numFmtId="0">
      <sharedItems containsString="0" containsBlank="1" containsNumber="1" containsInteger="1" minValue="1" maxValue="249"/>
    </cacheField>
    <cacheField name="Weekday_By Name" numFmtId="0">
      <sharedItems containsBlank="1" count="8">
        <s v="Sunday"/>
        <s v="Monday"/>
        <s v="Tuesday"/>
        <s v="Wednesday"/>
        <s v="Thursday"/>
        <s v="Friday"/>
        <s v="Saturday"/>
        <m/>
      </sharedItems>
    </cacheField>
    <cacheField name="Weather" numFmtId="0">
      <sharedItems containsBlank="1" count="5">
        <s v="Mild Cold"/>
        <s v="More Than Mild"/>
        <s v="Dark Cloude"/>
        <s v="Thander Storm"/>
        <m/>
      </sharedItems>
    </cacheField>
    <cacheField name="Rash Hour" numFmtId="0">
      <sharedItems containsBlank="1" count="3">
        <s v="Normal"/>
        <s v="Rush Hour"/>
        <m/>
      </sharedItems>
    </cacheField>
    <cacheField name="Demand Category" numFmtId="0">
      <sharedItems containsBlank="1" count="4">
        <s v="Low"/>
        <s v="Medium"/>
        <s v="High"/>
        <m/>
      </sharedItems>
    </cacheField>
    <cacheField name="Times of Day" numFmtId="0">
      <sharedItems containsBlank="1" count="5">
        <s v="Night"/>
        <s v="Morning"/>
        <s v="Afternoon"/>
        <s v="Evening"/>
        <m/>
      </sharedItems>
    </cacheField>
    <cacheField name="Temp Band" numFmtId="0">
      <sharedItems containsBlank="1" count="6">
        <s v="Cold (20-30%)"/>
        <s v="Mild (30-40%)"/>
        <s v="Warm (40-50%)"/>
        <s v="Very Cold (10-20%)"/>
        <s v="Freezing (0-10%)"/>
        <m/>
      </sharedItems>
    </cacheField>
    <cacheField name="Detection(surprisingly high or low)" numFmtId="0">
      <sharedItems containsBlank="1"/>
    </cacheField>
  </cacheFields>
  <extLst>
    <ext xmlns:x14="http://schemas.microsoft.com/office/spreadsheetml/2009/9/main" uri="{725AE2AE-9491-48be-B2B4-4EB974FC3084}">
      <x14:pivotCacheDefinition pivotCacheId="2694805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
    <d v="2011-01-01T00:00:00"/>
    <n v="1"/>
    <n v="0"/>
    <n v="1"/>
    <x v="0"/>
    <x v="0"/>
    <x v="0"/>
    <n v="1"/>
    <n v="0.24"/>
    <n v="0.28789999999999999"/>
    <n v="0.81"/>
    <n v="0"/>
    <n v="3"/>
    <n v="13"/>
    <n v="16"/>
    <x v="0"/>
    <x v="0"/>
    <x v="0"/>
    <x v="0"/>
    <x v="0"/>
    <x v="0"/>
    <s v="Normal"/>
  </r>
  <r>
    <n v="2"/>
    <d v="2011-01-01T00:00:00"/>
    <n v="1"/>
    <n v="0"/>
    <n v="1"/>
    <x v="1"/>
    <x v="0"/>
    <x v="0"/>
    <n v="1"/>
    <n v="0.22"/>
    <n v="0.2727"/>
    <n v="0.8"/>
    <n v="0"/>
    <n v="8"/>
    <n v="32"/>
    <n v="40"/>
    <x v="0"/>
    <x v="0"/>
    <x v="0"/>
    <x v="0"/>
    <x v="0"/>
    <x v="0"/>
    <s v="Normal"/>
  </r>
  <r>
    <n v="3"/>
    <d v="2011-01-01T00:00:00"/>
    <n v="1"/>
    <n v="0"/>
    <n v="1"/>
    <x v="2"/>
    <x v="0"/>
    <x v="0"/>
    <n v="1"/>
    <n v="0.22"/>
    <n v="0.2727"/>
    <n v="0.8"/>
    <n v="0"/>
    <n v="5"/>
    <n v="27"/>
    <n v="32"/>
    <x v="0"/>
    <x v="0"/>
    <x v="0"/>
    <x v="0"/>
    <x v="0"/>
    <x v="0"/>
    <s v="Normal"/>
  </r>
  <r>
    <n v="4"/>
    <d v="2011-01-01T00:00:00"/>
    <n v="1"/>
    <n v="0"/>
    <n v="1"/>
    <x v="3"/>
    <x v="0"/>
    <x v="0"/>
    <n v="1"/>
    <n v="0.24"/>
    <n v="0.28789999999999999"/>
    <n v="0.75"/>
    <n v="0"/>
    <n v="3"/>
    <n v="10"/>
    <n v="13"/>
    <x v="0"/>
    <x v="0"/>
    <x v="0"/>
    <x v="0"/>
    <x v="0"/>
    <x v="0"/>
    <s v="Normal"/>
  </r>
  <r>
    <n v="5"/>
    <d v="2011-01-01T00:00:00"/>
    <n v="1"/>
    <n v="0"/>
    <n v="1"/>
    <x v="4"/>
    <x v="0"/>
    <x v="0"/>
    <n v="1"/>
    <n v="0.24"/>
    <n v="0.28789999999999999"/>
    <n v="0.75"/>
    <n v="0"/>
    <n v="0"/>
    <n v="1"/>
    <n v="1"/>
    <x v="0"/>
    <x v="0"/>
    <x v="0"/>
    <x v="0"/>
    <x v="0"/>
    <x v="0"/>
    <s v="Normal"/>
  </r>
  <r>
    <n v="6"/>
    <d v="2011-01-01T00:00:00"/>
    <n v="1"/>
    <n v="0"/>
    <n v="1"/>
    <x v="5"/>
    <x v="0"/>
    <x v="0"/>
    <n v="2"/>
    <n v="0.24"/>
    <n v="0.2576"/>
    <n v="0.75"/>
    <n v="8.9599999999999999E-2"/>
    <n v="0"/>
    <n v="1"/>
    <n v="1"/>
    <x v="0"/>
    <x v="1"/>
    <x v="0"/>
    <x v="0"/>
    <x v="0"/>
    <x v="0"/>
    <s v="Normal"/>
  </r>
  <r>
    <n v="7"/>
    <d v="2011-01-01T00:00:00"/>
    <n v="1"/>
    <n v="0"/>
    <n v="1"/>
    <x v="6"/>
    <x v="0"/>
    <x v="0"/>
    <n v="1"/>
    <n v="0.22"/>
    <n v="0.2727"/>
    <n v="0.8"/>
    <n v="0"/>
    <n v="2"/>
    <n v="0"/>
    <n v="2"/>
    <x v="0"/>
    <x v="0"/>
    <x v="0"/>
    <x v="0"/>
    <x v="1"/>
    <x v="0"/>
    <s v="Normal"/>
  </r>
  <r>
    <n v="8"/>
    <d v="2011-01-01T00:00:00"/>
    <n v="1"/>
    <n v="0"/>
    <n v="1"/>
    <x v="7"/>
    <x v="0"/>
    <x v="0"/>
    <n v="1"/>
    <n v="0.2"/>
    <n v="0.2576"/>
    <n v="0.86"/>
    <n v="0"/>
    <n v="1"/>
    <n v="2"/>
    <n v="3"/>
    <x v="0"/>
    <x v="0"/>
    <x v="1"/>
    <x v="0"/>
    <x v="1"/>
    <x v="0"/>
    <s v="Normal"/>
  </r>
  <r>
    <n v="9"/>
    <d v="2011-01-01T00:00:00"/>
    <n v="1"/>
    <n v="0"/>
    <n v="1"/>
    <x v="8"/>
    <x v="0"/>
    <x v="0"/>
    <n v="1"/>
    <n v="0.24"/>
    <n v="0.28789999999999999"/>
    <n v="0.75"/>
    <n v="0"/>
    <n v="1"/>
    <n v="7"/>
    <n v="8"/>
    <x v="0"/>
    <x v="0"/>
    <x v="1"/>
    <x v="0"/>
    <x v="1"/>
    <x v="0"/>
    <s v="Normal"/>
  </r>
  <r>
    <n v="10"/>
    <d v="2011-01-01T00:00:00"/>
    <n v="1"/>
    <n v="0"/>
    <n v="1"/>
    <x v="9"/>
    <x v="0"/>
    <x v="0"/>
    <n v="1"/>
    <n v="0.32"/>
    <n v="0.34849999999999998"/>
    <n v="0.76"/>
    <n v="0"/>
    <n v="8"/>
    <n v="6"/>
    <n v="14"/>
    <x v="0"/>
    <x v="0"/>
    <x v="1"/>
    <x v="0"/>
    <x v="1"/>
    <x v="1"/>
    <s v="Normal"/>
  </r>
  <r>
    <n v="11"/>
    <d v="2011-01-01T00:00:00"/>
    <n v="1"/>
    <n v="0"/>
    <n v="1"/>
    <x v="10"/>
    <x v="0"/>
    <x v="0"/>
    <n v="1"/>
    <n v="0.38"/>
    <n v="0.39389999999999997"/>
    <n v="0.76"/>
    <n v="0.25369999999999998"/>
    <n v="12"/>
    <n v="24"/>
    <n v="36"/>
    <x v="0"/>
    <x v="0"/>
    <x v="0"/>
    <x v="0"/>
    <x v="1"/>
    <x v="1"/>
    <s v="Normal"/>
  </r>
  <r>
    <n v="12"/>
    <d v="2011-01-01T00:00:00"/>
    <n v="1"/>
    <n v="0"/>
    <n v="1"/>
    <x v="11"/>
    <x v="0"/>
    <x v="0"/>
    <n v="1"/>
    <n v="0.36"/>
    <n v="0.33329999999999999"/>
    <n v="0.81"/>
    <n v="0.28360000000000002"/>
    <n v="26"/>
    <n v="30"/>
    <n v="56"/>
    <x v="0"/>
    <x v="0"/>
    <x v="0"/>
    <x v="1"/>
    <x v="1"/>
    <x v="1"/>
    <s v="Normal"/>
  </r>
  <r>
    <n v="13"/>
    <d v="2011-01-01T00:00:00"/>
    <n v="1"/>
    <n v="0"/>
    <n v="1"/>
    <x v="12"/>
    <x v="0"/>
    <x v="0"/>
    <n v="1"/>
    <n v="0.42"/>
    <n v="0.42420000000000002"/>
    <n v="0.77"/>
    <n v="0.28360000000000002"/>
    <n v="29"/>
    <n v="55"/>
    <n v="84"/>
    <x v="0"/>
    <x v="0"/>
    <x v="0"/>
    <x v="1"/>
    <x v="2"/>
    <x v="2"/>
    <s v="Normal"/>
  </r>
  <r>
    <n v="14"/>
    <d v="2011-01-01T00:00:00"/>
    <n v="1"/>
    <n v="0"/>
    <n v="1"/>
    <x v="13"/>
    <x v="0"/>
    <x v="0"/>
    <n v="2"/>
    <n v="0.46"/>
    <n v="0.45450000000000002"/>
    <n v="0.72"/>
    <n v="0.29849999999999999"/>
    <n v="47"/>
    <n v="47"/>
    <n v="94"/>
    <x v="0"/>
    <x v="1"/>
    <x v="0"/>
    <x v="1"/>
    <x v="2"/>
    <x v="2"/>
    <s v="Normal"/>
  </r>
  <r>
    <n v="15"/>
    <d v="2011-01-01T00:00:00"/>
    <n v="1"/>
    <n v="0"/>
    <n v="1"/>
    <x v="14"/>
    <x v="0"/>
    <x v="0"/>
    <n v="2"/>
    <n v="0.46"/>
    <n v="0.45450000000000002"/>
    <n v="0.72"/>
    <n v="0.28360000000000002"/>
    <n v="35"/>
    <n v="71"/>
    <n v="106"/>
    <x v="0"/>
    <x v="1"/>
    <x v="0"/>
    <x v="1"/>
    <x v="2"/>
    <x v="2"/>
    <s v="Normal"/>
  </r>
  <r>
    <n v="16"/>
    <d v="2011-01-01T00:00:00"/>
    <n v="1"/>
    <n v="0"/>
    <n v="1"/>
    <x v="15"/>
    <x v="0"/>
    <x v="0"/>
    <n v="2"/>
    <n v="0.44"/>
    <n v="0.43940000000000001"/>
    <n v="0.77"/>
    <n v="0.29849999999999999"/>
    <n v="40"/>
    <n v="70"/>
    <n v="110"/>
    <x v="0"/>
    <x v="1"/>
    <x v="0"/>
    <x v="1"/>
    <x v="2"/>
    <x v="2"/>
    <s v="Normal"/>
  </r>
  <r>
    <n v="17"/>
    <d v="2011-01-01T00:00:00"/>
    <n v="1"/>
    <n v="0"/>
    <n v="1"/>
    <x v="16"/>
    <x v="0"/>
    <x v="0"/>
    <n v="2"/>
    <n v="0.42"/>
    <n v="0.42420000000000002"/>
    <n v="0.82"/>
    <n v="0.29849999999999999"/>
    <n v="41"/>
    <n v="52"/>
    <n v="93"/>
    <x v="0"/>
    <x v="1"/>
    <x v="0"/>
    <x v="1"/>
    <x v="2"/>
    <x v="2"/>
    <s v="Normal"/>
  </r>
  <r>
    <n v="18"/>
    <d v="2011-01-01T00:00:00"/>
    <n v="1"/>
    <n v="0"/>
    <n v="1"/>
    <x v="17"/>
    <x v="0"/>
    <x v="0"/>
    <n v="2"/>
    <n v="0.44"/>
    <n v="0.34849999999999998"/>
    <n v="0.82"/>
    <n v="0.28360000000000002"/>
    <n v="15"/>
    <n v="52"/>
    <n v="67"/>
    <x v="0"/>
    <x v="1"/>
    <x v="1"/>
    <x v="1"/>
    <x v="2"/>
    <x v="2"/>
    <s v="Normal"/>
  </r>
  <r>
    <n v="19"/>
    <d v="2011-01-01T00:00:00"/>
    <n v="1"/>
    <n v="0"/>
    <n v="1"/>
    <x v="18"/>
    <x v="0"/>
    <x v="0"/>
    <n v="3"/>
    <n v="0.42"/>
    <n v="0.42420000000000002"/>
    <n v="0.88"/>
    <n v="0.25369999999999998"/>
    <n v="9"/>
    <n v="26"/>
    <n v="35"/>
    <x v="0"/>
    <x v="2"/>
    <x v="1"/>
    <x v="0"/>
    <x v="3"/>
    <x v="2"/>
    <s v="Normal"/>
  </r>
  <r>
    <n v="20"/>
    <d v="2011-01-01T00:00:00"/>
    <n v="1"/>
    <n v="0"/>
    <n v="1"/>
    <x v="19"/>
    <x v="0"/>
    <x v="0"/>
    <n v="3"/>
    <n v="0.42"/>
    <n v="0.42420000000000002"/>
    <n v="0.88"/>
    <n v="0.25369999999999998"/>
    <n v="6"/>
    <n v="31"/>
    <n v="37"/>
    <x v="0"/>
    <x v="2"/>
    <x v="1"/>
    <x v="0"/>
    <x v="3"/>
    <x v="2"/>
    <s v="Normal"/>
  </r>
  <r>
    <n v="21"/>
    <d v="2011-01-01T00:00:00"/>
    <n v="1"/>
    <n v="0"/>
    <n v="1"/>
    <x v="20"/>
    <x v="0"/>
    <x v="0"/>
    <n v="2"/>
    <n v="0.4"/>
    <n v="0.40910000000000002"/>
    <n v="0.87"/>
    <n v="0.25369999999999998"/>
    <n v="11"/>
    <n v="25"/>
    <n v="36"/>
    <x v="0"/>
    <x v="1"/>
    <x v="0"/>
    <x v="0"/>
    <x v="3"/>
    <x v="2"/>
    <s v="Normal"/>
  </r>
  <r>
    <n v="22"/>
    <d v="2011-01-01T00:00:00"/>
    <n v="1"/>
    <n v="0"/>
    <n v="1"/>
    <x v="21"/>
    <x v="0"/>
    <x v="0"/>
    <n v="2"/>
    <n v="0.4"/>
    <n v="0.40910000000000002"/>
    <n v="0.87"/>
    <n v="0.19400000000000001"/>
    <n v="3"/>
    <n v="31"/>
    <n v="34"/>
    <x v="0"/>
    <x v="1"/>
    <x v="0"/>
    <x v="0"/>
    <x v="3"/>
    <x v="2"/>
    <s v="Normal"/>
  </r>
  <r>
    <n v="23"/>
    <d v="2011-01-01T00:00:00"/>
    <n v="1"/>
    <n v="0"/>
    <n v="1"/>
    <x v="22"/>
    <x v="0"/>
    <x v="0"/>
    <n v="2"/>
    <n v="0.4"/>
    <n v="0.40910000000000002"/>
    <n v="0.94"/>
    <n v="0.22389999999999999"/>
    <n v="11"/>
    <n v="17"/>
    <n v="28"/>
    <x v="0"/>
    <x v="1"/>
    <x v="0"/>
    <x v="0"/>
    <x v="3"/>
    <x v="2"/>
    <s v="Normal"/>
  </r>
  <r>
    <n v="24"/>
    <d v="2011-01-01T00:00:00"/>
    <n v="1"/>
    <n v="0"/>
    <n v="1"/>
    <x v="23"/>
    <x v="0"/>
    <x v="0"/>
    <n v="2"/>
    <n v="0.46"/>
    <n v="0.43940000000000001"/>
    <n v="0.88"/>
    <n v="0.29849999999999999"/>
    <n v="15"/>
    <n v="24"/>
    <n v="39"/>
    <x v="0"/>
    <x v="1"/>
    <x v="0"/>
    <x v="0"/>
    <x v="3"/>
    <x v="2"/>
    <s v="Normal"/>
  </r>
  <r>
    <n v="25"/>
    <d v="2011-01-02T00:00:00"/>
    <n v="1"/>
    <n v="0"/>
    <n v="1"/>
    <x v="0"/>
    <x v="0"/>
    <x v="1"/>
    <n v="2"/>
    <n v="0.46"/>
    <n v="0.45450000000000002"/>
    <n v="0.88"/>
    <n v="0.29849999999999999"/>
    <n v="4"/>
    <n v="13"/>
    <n v="17"/>
    <x v="1"/>
    <x v="1"/>
    <x v="0"/>
    <x v="0"/>
    <x v="0"/>
    <x v="2"/>
    <s v="Normal"/>
  </r>
  <r>
    <n v="26"/>
    <d v="2011-01-02T00:00:00"/>
    <n v="1"/>
    <n v="0"/>
    <n v="1"/>
    <x v="1"/>
    <x v="0"/>
    <x v="1"/>
    <n v="2"/>
    <n v="0.44"/>
    <n v="0.43940000000000001"/>
    <n v="0.94"/>
    <n v="0.25369999999999998"/>
    <n v="1"/>
    <n v="16"/>
    <n v="17"/>
    <x v="1"/>
    <x v="1"/>
    <x v="0"/>
    <x v="0"/>
    <x v="0"/>
    <x v="2"/>
    <s v="Normal"/>
  </r>
  <r>
    <n v="27"/>
    <d v="2011-01-02T00:00:00"/>
    <n v="1"/>
    <n v="0"/>
    <n v="1"/>
    <x v="2"/>
    <x v="0"/>
    <x v="1"/>
    <n v="2"/>
    <n v="0.42"/>
    <n v="0.42420000000000002"/>
    <n v="1"/>
    <n v="0.28360000000000002"/>
    <n v="1"/>
    <n v="8"/>
    <n v="9"/>
    <x v="1"/>
    <x v="1"/>
    <x v="0"/>
    <x v="0"/>
    <x v="0"/>
    <x v="2"/>
    <s v="Normal"/>
  </r>
  <r>
    <n v="28"/>
    <d v="2011-01-02T00:00:00"/>
    <n v="1"/>
    <n v="0"/>
    <n v="1"/>
    <x v="3"/>
    <x v="0"/>
    <x v="1"/>
    <n v="2"/>
    <n v="0.46"/>
    <n v="0.45450000000000002"/>
    <n v="0.94"/>
    <n v="0.19400000000000001"/>
    <n v="2"/>
    <n v="4"/>
    <n v="6"/>
    <x v="1"/>
    <x v="1"/>
    <x v="0"/>
    <x v="0"/>
    <x v="0"/>
    <x v="2"/>
    <s v="Normal"/>
  </r>
  <r>
    <n v="29"/>
    <d v="2011-01-02T00:00:00"/>
    <n v="1"/>
    <n v="0"/>
    <n v="1"/>
    <x v="4"/>
    <x v="0"/>
    <x v="1"/>
    <n v="2"/>
    <n v="0.46"/>
    <n v="0.40910000000000002"/>
    <n v="0.94"/>
    <n v="0.19400000000000001"/>
    <n v="2"/>
    <n v="1"/>
    <n v="3"/>
    <x v="1"/>
    <x v="1"/>
    <x v="0"/>
    <x v="0"/>
    <x v="0"/>
    <x v="2"/>
    <s v="Normal"/>
  </r>
  <r>
    <n v="30"/>
    <d v="2011-01-02T00:00:00"/>
    <n v="1"/>
    <n v="0"/>
    <n v="1"/>
    <x v="6"/>
    <x v="0"/>
    <x v="1"/>
    <n v="3"/>
    <n v="0.42"/>
    <n v="0.42420000000000002"/>
    <n v="0.77"/>
    <n v="0.29849999999999999"/>
    <n v="0"/>
    <n v="2"/>
    <n v="2"/>
    <x v="1"/>
    <x v="2"/>
    <x v="0"/>
    <x v="0"/>
    <x v="1"/>
    <x v="2"/>
    <s v="Normal"/>
  </r>
  <r>
    <n v="31"/>
    <d v="2011-01-02T00:00:00"/>
    <n v="1"/>
    <n v="0"/>
    <n v="1"/>
    <x v="7"/>
    <x v="0"/>
    <x v="1"/>
    <n v="2"/>
    <n v="0.4"/>
    <n v="0.40910000000000002"/>
    <n v="0.76"/>
    <n v="0.19400000000000001"/>
    <n v="0"/>
    <n v="1"/>
    <n v="1"/>
    <x v="1"/>
    <x v="1"/>
    <x v="1"/>
    <x v="0"/>
    <x v="1"/>
    <x v="2"/>
    <s v="Normal"/>
  </r>
  <r>
    <n v="32"/>
    <d v="2011-01-02T00:00:00"/>
    <n v="1"/>
    <n v="0"/>
    <n v="1"/>
    <x v="8"/>
    <x v="0"/>
    <x v="1"/>
    <n v="3"/>
    <n v="0.4"/>
    <n v="0.40910000000000002"/>
    <n v="0.71"/>
    <n v="0.22389999999999999"/>
    <n v="0"/>
    <n v="8"/>
    <n v="8"/>
    <x v="1"/>
    <x v="2"/>
    <x v="1"/>
    <x v="0"/>
    <x v="1"/>
    <x v="2"/>
    <s v="Normal"/>
  </r>
  <r>
    <n v="33"/>
    <d v="2011-01-02T00:00:00"/>
    <n v="1"/>
    <n v="0"/>
    <n v="1"/>
    <x v="9"/>
    <x v="0"/>
    <x v="1"/>
    <n v="2"/>
    <n v="0.38"/>
    <n v="0.45450000000000002"/>
    <n v="0.76"/>
    <n v="0.22389999999999999"/>
    <n v="1"/>
    <n v="19"/>
    <n v="20"/>
    <x v="1"/>
    <x v="1"/>
    <x v="1"/>
    <x v="0"/>
    <x v="1"/>
    <x v="1"/>
    <s v="Normal"/>
  </r>
  <r>
    <n v="34"/>
    <d v="2011-01-02T00:00:00"/>
    <n v="1"/>
    <n v="0"/>
    <n v="1"/>
    <x v="10"/>
    <x v="0"/>
    <x v="1"/>
    <n v="2"/>
    <n v="0.36"/>
    <n v="0.34849999999999998"/>
    <n v="0.81"/>
    <n v="0.22389999999999999"/>
    <n v="7"/>
    <n v="46"/>
    <n v="53"/>
    <x v="1"/>
    <x v="1"/>
    <x v="0"/>
    <x v="1"/>
    <x v="1"/>
    <x v="1"/>
    <s v="Normal"/>
  </r>
  <r>
    <n v="35"/>
    <d v="2011-01-02T00:00:00"/>
    <n v="1"/>
    <n v="0"/>
    <n v="1"/>
    <x v="11"/>
    <x v="0"/>
    <x v="1"/>
    <n v="2"/>
    <n v="0.36"/>
    <n v="0.33329999999999999"/>
    <n v="0.71"/>
    <n v="0.25369999999999998"/>
    <n v="16"/>
    <n v="54"/>
    <n v="70"/>
    <x v="1"/>
    <x v="1"/>
    <x v="0"/>
    <x v="1"/>
    <x v="1"/>
    <x v="1"/>
    <s v="Normal"/>
  </r>
  <r>
    <n v="36"/>
    <d v="2011-01-02T00:00:00"/>
    <n v="1"/>
    <n v="0"/>
    <n v="1"/>
    <x v="12"/>
    <x v="0"/>
    <x v="1"/>
    <n v="2"/>
    <n v="0.36"/>
    <n v="0.33329999999999999"/>
    <n v="0.66"/>
    <n v="0.29849999999999999"/>
    <n v="20"/>
    <n v="73"/>
    <n v="93"/>
    <x v="1"/>
    <x v="1"/>
    <x v="0"/>
    <x v="1"/>
    <x v="2"/>
    <x v="1"/>
    <s v="Normal"/>
  </r>
  <r>
    <n v="37"/>
    <d v="2011-01-02T00:00:00"/>
    <n v="1"/>
    <n v="0"/>
    <n v="1"/>
    <x v="13"/>
    <x v="0"/>
    <x v="1"/>
    <n v="2"/>
    <n v="0.36"/>
    <n v="0.34849999999999998"/>
    <n v="0.66"/>
    <n v="0.1343"/>
    <n v="11"/>
    <n v="64"/>
    <n v="75"/>
    <x v="1"/>
    <x v="1"/>
    <x v="0"/>
    <x v="1"/>
    <x v="2"/>
    <x v="1"/>
    <s v="Normal"/>
  </r>
  <r>
    <n v="38"/>
    <d v="2011-01-02T00:00:00"/>
    <n v="1"/>
    <n v="0"/>
    <n v="1"/>
    <x v="14"/>
    <x v="0"/>
    <x v="1"/>
    <n v="3"/>
    <n v="0.36"/>
    <n v="0.42420000000000002"/>
    <n v="0.76"/>
    <n v="0.19400000000000001"/>
    <n v="4"/>
    <n v="55"/>
    <n v="59"/>
    <x v="1"/>
    <x v="2"/>
    <x v="0"/>
    <x v="1"/>
    <x v="2"/>
    <x v="1"/>
    <s v="Normal"/>
  </r>
  <r>
    <n v="39"/>
    <d v="2011-01-02T00:00:00"/>
    <n v="1"/>
    <n v="0"/>
    <n v="1"/>
    <x v="15"/>
    <x v="0"/>
    <x v="1"/>
    <n v="3"/>
    <n v="0.34"/>
    <n v="0.33329999999999999"/>
    <n v="0.81"/>
    <n v="0.16420000000000001"/>
    <n v="19"/>
    <n v="55"/>
    <n v="74"/>
    <x v="1"/>
    <x v="2"/>
    <x v="0"/>
    <x v="1"/>
    <x v="2"/>
    <x v="1"/>
    <s v="Normal"/>
  </r>
  <r>
    <n v="40"/>
    <d v="2011-01-02T00:00:00"/>
    <n v="1"/>
    <n v="0"/>
    <n v="1"/>
    <x v="16"/>
    <x v="0"/>
    <x v="1"/>
    <n v="3"/>
    <n v="0.34"/>
    <n v="0.33329999999999999"/>
    <n v="0.71"/>
    <n v="0.16420000000000001"/>
    <n v="9"/>
    <n v="67"/>
    <n v="76"/>
    <x v="1"/>
    <x v="2"/>
    <x v="0"/>
    <x v="1"/>
    <x v="2"/>
    <x v="1"/>
    <s v="Normal"/>
  </r>
  <r>
    <n v="41"/>
    <d v="2011-01-02T00:00:00"/>
    <n v="1"/>
    <n v="0"/>
    <n v="1"/>
    <x v="17"/>
    <x v="0"/>
    <x v="1"/>
    <n v="1"/>
    <n v="0.34"/>
    <n v="0.33329999999999999"/>
    <n v="0.56999999999999995"/>
    <n v="0.19400000000000001"/>
    <n v="7"/>
    <n v="58"/>
    <n v="65"/>
    <x v="1"/>
    <x v="0"/>
    <x v="1"/>
    <x v="1"/>
    <x v="2"/>
    <x v="1"/>
    <s v="Normal"/>
  </r>
  <r>
    <n v="42"/>
    <d v="2011-01-02T00:00:00"/>
    <n v="1"/>
    <n v="0"/>
    <n v="1"/>
    <x v="18"/>
    <x v="0"/>
    <x v="1"/>
    <n v="2"/>
    <n v="0.36"/>
    <n v="0.33329999999999999"/>
    <n v="0.46"/>
    <n v="0.32840000000000003"/>
    <n v="10"/>
    <n v="43"/>
    <n v="53"/>
    <x v="1"/>
    <x v="1"/>
    <x v="1"/>
    <x v="1"/>
    <x v="3"/>
    <x v="1"/>
    <s v="Normal"/>
  </r>
  <r>
    <n v="43"/>
    <d v="2011-01-02T00:00:00"/>
    <n v="1"/>
    <n v="0"/>
    <n v="1"/>
    <x v="19"/>
    <x v="0"/>
    <x v="1"/>
    <n v="1"/>
    <n v="0.32"/>
    <n v="0.28789999999999999"/>
    <n v="0.42"/>
    <n v="0.44779999999999998"/>
    <n v="1"/>
    <n v="29"/>
    <n v="30"/>
    <x v="1"/>
    <x v="0"/>
    <x v="1"/>
    <x v="0"/>
    <x v="3"/>
    <x v="1"/>
    <s v="Normal"/>
  </r>
  <r>
    <n v="44"/>
    <d v="2011-01-02T00:00:00"/>
    <n v="1"/>
    <n v="0"/>
    <n v="1"/>
    <x v="20"/>
    <x v="0"/>
    <x v="1"/>
    <n v="1"/>
    <n v="0.3"/>
    <n v="0.33329999999999999"/>
    <n v="0.39"/>
    <n v="0.35820000000000002"/>
    <n v="5"/>
    <n v="17"/>
    <n v="22"/>
    <x v="1"/>
    <x v="0"/>
    <x v="0"/>
    <x v="0"/>
    <x v="3"/>
    <x v="1"/>
    <s v="Normal"/>
  </r>
  <r>
    <n v="45"/>
    <d v="2011-01-02T00:00:00"/>
    <n v="1"/>
    <n v="0"/>
    <n v="1"/>
    <x v="21"/>
    <x v="0"/>
    <x v="1"/>
    <n v="1"/>
    <n v="0.26"/>
    <n v="0.2273"/>
    <n v="0.44"/>
    <n v="0.32840000000000003"/>
    <n v="11"/>
    <n v="20"/>
    <n v="31"/>
    <x v="1"/>
    <x v="0"/>
    <x v="0"/>
    <x v="0"/>
    <x v="3"/>
    <x v="0"/>
    <s v="Normal"/>
  </r>
  <r>
    <n v="46"/>
    <d v="2011-01-02T00:00:00"/>
    <n v="1"/>
    <n v="0"/>
    <n v="1"/>
    <x v="22"/>
    <x v="0"/>
    <x v="1"/>
    <n v="1"/>
    <n v="0.24"/>
    <n v="0.21210000000000001"/>
    <n v="0.44"/>
    <n v="0.29849999999999999"/>
    <n v="0"/>
    <n v="9"/>
    <n v="9"/>
    <x v="1"/>
    <x v="0"/>
    <x v="0"/>
    <x v="0"/>
    <x v="3"/>
    <x v="0"/>
    <s v="Normal"/>
  </r>
  <r>
    <n v="47"/>
    <d v="2011-01-02T00:00:00"/>
    <n v="1"/>
    <n v="0"/>
    <n v="1"/>
    <x v="23"/>
    <x v="0"/>
    <x v="1"/>
    <n v="1"/>
    <n v="0.22"/>
    <n v="0.2273"/>
    <n v="0.47"/>
    <n v="0.16420000000000001"/>
    <n v="0"/>
    <n v="8"/>
    <n v="8"/>
    <x v="1"/>
    <x v="0"/>
    <x v="0"/>
    <x v="0"/>
    <x v="3"/>
    <x v="0"/>
    <s v="Normal"/>
  </r>
  <r>
    <n v="48"/>
    <d v="2011-01-03T00:00:00"/>
    <n v="1"/>
    <n v="0"/>
    <n v="1"/>
    <x v="0"/>
    <x v="0"/>
    <x v="2"/>
    <n v="1"/>
    <n v="0.22"/>
    <n v="0.19700000000000001"/>
    <n v="0.44"/>
    <n v="0.35820000000000002"/>
    <n v="0"/>
    <n v="5"/>
    <n v="5"/>
    <x v="2"/>
    <x v="0"/>
    <x v="0"/>
    <x v="0"/>
    <x v="0"/>
    <x v="0"/>
    <s v="Normal"/>
  </r>
  <r>
    <n v="49"/>
    <d v="2011-01-03T00:00:00"/>
    <n v="1"/>
    <n v="0"/>
    <n v="1"/>
    <x v="1"/>
    <x v="0"/>
    <x v="2"/>
    <n v="1"/>
    <n v="0.2"/>
    <n v="0.33329999999999999"/>
    <n v="0.44"/>
    <n v="0.41789999999999999"/>
    <n v="0"/>
    <n v="2"/>
    <n v="2"/>
    <x v="2"/>
    <x v="0"/>
    <x v="0"/>
    <x v="0"/>
    <x v="0"/>
    <x v="0"/>
    <s v="Normal"/>
  </r>
  <r>
    <n v="50"/>
    <d v="2011-01-03T00:00:00"/>
    <n v="1"/>
    <n v="0"/>
    <n v="1"/>
    <x v="4"/>
    <x v="0"/>
    <x v="2"/>
    <n v="1"/>
    <n v="0.16"/>
    <n v="0.13639999999999999"/>
    <n v="0.47"/>
    <n v="0.3881"/>
    <n v="0"/>
    <n v="1"/>
    <n v="1"/>
    <x v="2"/>
    <x v="0"/>
    <x v="0"/>
    <x v="0"/>
    <x v="0"/>
    <x v="3"/>
    <s v="Normal"/>
  </r>
  <r>
    <n v="51"/>
    <d v="2011-01-03T00:00:00"/>
    <n v="1"/>
    <n v="0"/>
    <n v="1"/>
    <x v="5"/>
    <x v="0"/>
    <x v="2"/>
    <n v="1"/>
    <n v="0.16"/>
    <n v="0.13639999999999999"/>
    <n v="0.47"/>
    <n v="0.28360000000000002"/>
    <n v="0"/>
    <n v="3"/>
    <n v="3"/>
    <x v="2"/>
    <x v="0"/>
    <x v="0"/>
    <x v="0"/>
    <x v="0"/>
    <x v="3"/>
    <s v="Normal"/>
  </r>
  <r>
    <n v="52"/>
    <d v="2011-01-03T00:00:00"/>
    <n v="1"/>
    <n v="0"/>
    <n v="1"/>
    <x v="6"/>
    <x v="0"/>
    <x v="2"/>
    <n v="1"/>
    <n v="0.14000000000000001"/>
    <n v="0.1061"/>
    <n v="0.5"/>
    <n v="0.3881"/>
    <n v="0"/>
    <n v="30"/>
    <n v="30"/>
    <x v="2"/>
    <x v="0"/>
    <x v="0"/>
    <x v="0"/>
    <x v="1"/>
    <x v="3"/>
    <s v="Normal"/>
  </r>
  <r>
    <n v="53"/>
    <d v="2011-01-03T00:00:00"/>
    <n v="1"/>
    <n v="0"/>
    <n v="1"/>
    <x v="7"/>
    <x v="0"/>
    <x v="2"/>
    <n v="1"/>
    <n v="0.14000000000000001"/>
    <n v="0.13639999999999999"/>
    <n v="0.5"/>
    <n v="0.19400000000000001"/>
    <n v="1"/>
    <n v="63"/>
    <n v="64"/>
    <x v="2"/>
    <x v="0"/>
    <x v="1"/>
    <x v="1"/>
    <x v="1"/>
    <x v="3"/>
    <s v="Normal"/>
  </r>
  <r>
    <n v="54"/>
    <d v="2011-01-03T00:00:00"/>
    <n v="1"/>
    <n v="0"/>
    <n v="1"/>
    <x v="8"/>
    <x v="0"/>
    <x v="2"/>
    <n v="1"/>
    <n v="0.14000000000000001"/>
    <n v="0.1212"/>
    <n v="0.5"/>
    <n v="0.28360000000000002"/>
    <n v="1"/>
    <n v="153"/>
    <n v="154"/>
    <x v="2"/>
    <x v="0"/>
    <x v="1"/>
    <x v="2"/>
    <x v="1"/>
    <x v="3"/>
    <s v="Normal"/>
  </r>
  <r>
    <n v="55"/>
    <d v="2011-01-03T00:00:00"/>
    <n v="1"/>
    <n v="0"/>
    <n v="1"/>
    <x v="9"/>
    <x v="0"/>
    <x v="2"/>
    <n v="1"/>
    <n v="0.16"/>
    <n v="0.13639999999999999"/>
    <n v="0.43"/>
    <n v="0.3881"/>
    <n v="7"/>
    <n v="81"/>
    <n v="88"/>
    <x v="2"/>
    <x v="0"/>
    <x v="1"/>
    <x v="1"/>
    <x v="1"/>
    <x v="3"/>
    <s v="Normal"/>
  </r>
  <r>
    <n v="56"/>
    <d v="2011-01-03T00:00:00"/>
    <n v="1"/>
    <n v="0"/>
    <n v="1"/>
    <x v="10"/>
    <x v="0"/>
    <x v="2"/>
    <n v="1"/>
    <n v="0.18"/>
    <n v="0.16669999999999999"/>
    <n v="0.43"/>
    <n v="0.25369999999999998"/>
    <n v="11"/>
    <n v="33"/>
    <n v="44"/>
    <x v="2"/>
    <x v="0"/>
    <x v="0"/>
    <x v="0"/>
    <x v="1"/>
    <x v="3"/>
    <s v="Normal"/>
  </r>
  <r>
    <n v="57"/>
    <d v="2011-01-03T00:00:00"/>
    <n v="1"/>
    <n v="0"/>
    <n v="1"/>
    <x v="11"/>
    <x v="0"/>
    <x v="2"/>
    <n v="1"/>
    <n v="0.2"/>
    <n v="0.18179999999999999"/>
    <n v="0.4"/>
    <n v="0.32840000000000003"/>
    <n v="10"/>
    <n v="41"/>
    <n v="51"/>
    <x v="2"/>
    <x v="0"/>
    <x v="0"/>
    <x v="1"/>
    <x v="1"/>
    <x v="0"/>
    <s v="Normal"/>
  </r>
  <r>
    <n v="58"/>
    <d v="2011-01-03T00:00:00"/>
    <n v="1"/>
    <n v="0"/>
    <n v="1"/>
    <x v="12"/>
    <x v="0"/>
    <x v="2"/>
    <n v="1"/>
    <n v="0.22"/>
    <n v="0.21210000000000001"/>
    <n v="0.35"/>
    <n v="0.29849999999999999"/>
    <n v="13"/>
    <n v="48"/>
    <n v="61"/>
    <x v="2"/>
    <x v="0"/>
    <x v="0"/>
    <x v="1"/>
    <x v="2"/>
    <x v="0"/>
    <s v="Normal"/>
  </r>
  <r>
    <n v="59"/>
    <d v="2011-01-03T00:00:00"/>
    <n v="1"/>
    <n v="0"/>
    <n v="1"/>
    <x v="13"/>
    <x v="0"/>
    <x v="2"/>
    <n v="1"/>
    <n v="0.24"/>
    <n v="0.13639999999999999"/>
    <n v="0.35"/>
    <n v="0.28360000000000002"/>
    <n v="8"/>
    <n v="53"/>
    <n v="61"/>
    <x v="2"/>
    <x v="0"/>
    <x v="0"/>
    <x v="1"/>
    <x v="2"/>
    <x v="0"/>
    <s v="Normal"/>
  </r>
  <r>
    <n v="60"/>
    <d v="2011-01-03T00:00:00"/>
    <n v="1"/>
    <n v="0"/>
    <n v="1"/>
    <x v="14"/>
    <x v="0"/>
    <x v="2"/>
    <n v="1"/>
    <n v="0.26"/>
    <n v="0.2424"/>
    <n v="0.3"/>
    <n v="0.28360000000000002"/>
    <n v="11"/>
    <n v="66"/>
    <n v="77"/>
    <x v="2"/>
    <x v="0"/>
    <x v="0"/>
    <x v="1"/>
    <x v="2"/>
    <x v="0"/>
    <s v="Normal"/>
  </r>
  <r>
    <n v="61"/>
    <d v="2011-01-03T00:00:00"/>
    <n v="1"/>
    <n v="0"/>
    <n v="1"/>
    <x v="15"/>
    <x v="0"/>
    <x v="2"/>
    <n v="1"/>
    <n v="0.26"/>
    <n v="0.2424"/>
    <n v="0.3"/>
    <n v="0.25369999999999998"/>
    <n v="14"/>
    <n v="58"/>
    <n v="72"/>
    <x v="2"/>
    <x v="0"/>
    <x v="0"/>
    <x v="1"/>
    <x v="2"/>
    <x v="0"/>
    <s v="Normal"/>
  </r>
  <r>
    <n v="62"/>
    <d v="2011-01-03T00:00:00"/>
    <n v="1"/>
    <n v="0"/>
    <n v="1"/>
    <x v="16"/>
    <x v="0"/>
    <x v="2"/>
    <n v="1"/>
    <n v="0.26"/>
    <n v="0.2424"/>
    <n v="0.3"/>
    <n v="0.25369999999999998"/>
    <n v="9"/>
    <n v="67"/>
    <n v="76"/>
    <x v="2"/>
    <x v="0"/>
    <x v="0"/>
    <x v="1"/>
    <x v="2"/>
    <x v="0"/>
    <s v="Normal"/>
  </r>
  <r>
    <n v="63"/>
    <d v="2011-01-03T00:00:00"/>
    <n v="1"/>
    <n v="0"/>
    <n v="1"/>
    <x v="17"/>
    <x v="0"/>
    <x v="2"/>
    <n v="1"/>
    <n v="0.24"/>
    <n v="0.2273"/>
    <n v="0.3"/>
    <n v="0.22389999999999999"/>
    <n v="11"/>
    <n v="146"/>
    <n v="157"/>
    <x v="2"/>
    <x v="0"/>
    <x v="1"/>
    <x v="2"/>
    <x v="2"/>
    <x v="0"/>
    <s v="Normal"/>
  </r>
  <r>
    <n v="64"/>
    <d v="2011-01-03T00:00:00"/>
    <n v="1"/>
    <n v="0"/>
    <n v="1"/>
    <x v="18"/>
    <x v="0"/>
    <x v="2"/>
    <n v="1"/>
    <n v="0.24"/>
    <n v="0.2576"/>
    <n v="0.32"/>
    <n v="0.1045"/>
    <n v="9"/>
    <n v="148"/>
    <n v="157"/>
    <x v="2"/>
    <x v="0"/>
    <x v="1"/>
    <x v="2"/>
    <x v="3"/>
    <x v="0"/>
    <s v="Normal"/>
  </r>
  <r>
    <n v="65"/>
    <d v="2011-01-03T00:00:00"/>
    <n v="1"/>
    <n v="0"/>
    <n v="1"/>
    <x v="19"/>
    <x v="0"/>
    <x v="2"/>
    <n v="1"/>
    <n v="0.2"/>
    <n v="0.2576"/>
    <n v="0.47"/>
    <n v="0"/>
    <n v="8"/>
    <n v="102"/>
    <n v="110"/>
    <x v="2"/>
    <x v="0"/>
    <x v="1"/>
    <x v="1"/>
    <x v="3"/>
    <x v="0"/>
    <s v="Normal"/>
  </r>
  <r>
    <n v="66"/>
    <d v="2011-01-03T00:00:00"/>
    <n v="1"/>
    <n v="0"/>
    <n v="1"/>
    <x v="20"/>
    <x v="0"/>
    <x v="2"/>
    <n v="1"/>
    <n v="0.2"/>
    <n v="0.21210000000000001"/>
    <n v="0.47"/>
    <n v="0.1045"/>
    <n v="3"/>
    <n v="49"/>
    <n v="52"/>
    <x v="2"/>
    <x v="0"/>
    <x v="0"/>
    <x v="1"/>
    <x v="3"/>
    <x v="0"/>
    <s v="Normal"/>
  </r>
  <r>
    <n v="67"/>
    <d v="2011-01-03T00:00:00"/>
    <n v="1"/>
    <n v="0"/>
    <n v="1"/>
    <x v="21"/>
    <x v="0"/>
    <x v="2"/>
    <n v="1"/>
    <n v="0.18"/>
    <n v="0.19700000000000001"/>
    <n v="0.64"/>
    <n v="0.1343"/>
    <n v="3"/>
    <n v="49"/>
    <n v="52"/>
    <x v="2"/>
    <x v="0"/>
    <x v="0"/>
    <x v="1"/>
    <x v="3"/>
    <x v="3"/>
    <s v="Normal"/>
  </r>
  <r>
    <n v="68"/>
    <d v="2011-01-03T00:00:00"/>
    <n v="1"/>
    <n v="0"/>
    <n v="1"/>
    <x v="22"/>
    <x v="0"/>
    <x v="2"/>
    <n v="1"/>
    <n v="0.14000000000000001"/>
    <n v="0.1515"/>
    <n v="0.69"/>
    <n v="0.1343"/>
    <n v="0"/>
    <n v="20"/>
    <n v="20"/>
    <x v="2"/>
    <x v="0"/>
    <x v="0"/>
    <x v="0"/>
    <x v="3"/>
    <x v="3"/>
    <s v="Normal"/>
  </r>
  <r>
    <n v="69"/>
    <d v="2011-01-03T00:00:00"/>
    <n v="1"/>
    <n v="0"/>
    <n v="1"/>
    <x v="23"/>
    <x v="0"/>
    <x v="2"/>
    <n v="1"/>
    <n v="0.18"/>
    <n v="0.21210000000000001"/>
    <n v="0.55000000000000004"/>
    <n v="0.1045"/>
    <n v="1"/>
    <n v="11"/>
    <n v="12"/>
    <x v="2"/>
    <x v="0"/>
    <x v="0"/>
    <x v="0"/>
    <x v="3"/>
    <x v="3"/>
    <s v="Normal"/>
  </r>
  <r>
    <n v="70"/>
    <d v="2011-01-04T00:00:00"/>
    <n v="1"/>
    <n v="0"/>
    <n v="1"/>
    <x v="0"/>
    <x v="0"/>
    <x v="3"/>
    <n v="1"/>
    <n v="0.16"/>
    <n v="0.2424"/>
    <n v="0.55000000000000004"/>
    <n v="0.1045"/>
    <n v="0"/>
    <n v="5"/>
    <n v="5"/>
    <x v="3"/>
    <x v="0"/>
    <x v="0"/>
    <x v="0"/>
    <x v="0"/>
    <x v="3"/>
    <s v="Normal"/>
  </r>
  <r>
    <n v="71"/>
    <d v="2011-01-04T00:00:00"/>
    <n v="1"/>
    <n v="0"/>
    <n v="1"/>
    <x v="1"/>
    <x v="0"/>
    <x v="3"/>
    <n v="1"/>
    <n v="0.16"/>
    <n v="0.18179999999999999"/>
    <n v="0.59"/>
    <n v="0.1045"/>
    <n v="0"/>
    <n v="2"/>
    <n v="2"/>
    <x v="3"/>
    <x v="0"/>
    <x v="0"/>
    <x v="0"/>
    <x v="0"/>
    <x v="3"/>
    <s v="Normal"/>
  </r>
  <r>
    <n v="72"/>
    <d v="2011-01-04T00:00:00"/>
    <n v="1"/>
    <n v="0"/>
    <n v="1"/>
    <x v="2"/>
    <x v="0"/>
    <x v="3"/>
    <n v="1"/>
    <n v="0.14000000000000001"/>
    <n v="0.1515"/>
    <n v="0.63"/>
    <n v="0.1343"/>
    <n v="0"/>
    <n v="1"/>
    <n v="1"/>
    <x v="3"/>
    <x v="0"/>
    <x v="0"/>
    <x v="0"/>
    <x v="0"/>
    <x v="3"/>
    <s v="Normal"/>
  </r>
  <r>
    <n v="73"/>
    <d v="2011-01-04T00:00:00"/>
    <n v="1"/>
    <n v="0"/>
    <n v="1"/>
    <x v="4"/>
    <x v="0"/>
    <x v="3"/>
    <n v="1"/>
    <n v="0.14000000000000001"/>
    <n v="0.18179999999999999"/>
    <n v="0.63"/>
    <n v="8.9599999999999999E-2"/>
    <n v="0"/>
    <n v="2"/>
    <n v="2"/>
    <x v="3"/>
    <x v="0"/>
    <x v="0"/>
    <x v="0"/>
    <x v="0"/>
    <x v="3"/>
    <s v="Normal"/>
  </r>
  <r>
    <n v="74"/>
    <d v="2011-01-04T00:00:00"/>
    <n v="1"/>
    <n v="0"/>
    <n v="1"/>
    <x v="5"/>
    <x v="0"/>
    <x v="3"/>
    <n v="1"/>
    <n v="0.12"/>
    <n v="0.1515"/>
    <n v="0.68"/>
    <n v="0.1045"/>
    <n v="0"/>
    <n v="4"/>
    <n v="4"/>
    <x v="3"/>
    <x v="0"/>
    <x v="0"/>
    <x v="0"/>
    <x v="0"/>
    <x v="3"/>
    <s v="Normal"/>
  </r>
  <r>
    <n v="75"/>
    <d v="2011-01-04T00:00:00"/>
    <n v="1"/>
    <n v="0"/>
    <n v="1"/>
    <x v="6"/>
    <x v="0"/>
    <x v="3"/>
    <n v="1"/>
    <n v="0.12"/>
    <n v="0.1515"/>
    <n v="0.74"/>
    <n v="0.1045"/>
    <n v="0"/>
    <n v="36"/>
    <n v="36"/>
    <x v="3"/>
    <x v="0"/>
    <x v="0"/>
    <x v="0"/>
    <x v="1"/>
    <x v="3"/>
    <s v="Normal"/>
  </r>
  <r>
    <n v="76"/>
    <d v="2011-01-04T00:00:00"/>
    <n v="1"/>
    <n v="0"/>
    <n v="1"/>
    <x v="7"/>
    <x v="0"/>
    <x v="3"/>
    <n v="1"/>
    <n v="0.12"/>
    <n v="0.1515"/>
    <n v="0.74"/>
    <n v="0.1343"/>
    <n v="2"/>
    <n v="92"/>
    <n v="94"/>
    <x v="3"/>
    <x v="0"/>
    <x v="1"/>
    <x v="1"/>
    <x v="1"/>
    <x v="3"/>
    <s v="Normal"/>
  </r>
  <r>
    <n v="77"/>
    <d v="2011-01-04T00:00:00"/>
    <n v="1"/>
    <n v="0"/>
    <n v="1"/>
    <x v="8"/>
    <x v="0"/>
    <x v="3"/>
    <n v="1"/>
    <n v="0.14000000000000001"/>
    <n v="0.1515"/>
    <n v="0.69"/>
    <n v="0.16420000000000001"/>
    <n v="2"/>
    <n v="177"/>
    <n v="179"/>
    <x v="3"/>
    <x v="0"/>
    <x v="1"/>
    <x v="2"/>
    <x v="1"/>
    <x v="3"/>
    <s v="⬆ Spike"/>
  </r>
  <r>
    <n v="78"/>
    <d v="2011-01-04T00:00:00"/>
    <n v="1"/>
    <n v="0"/>
    <n v="1"/>
    <x v="9"/>
    <x v="0"/>
    <x v="3"/>
    <n v="1"/>
    <n v="0.16"/>
    <n v="0.1515"/>
    <n v="0.64"/>
    <n v="0.22389999999999999"/>
    <n v="2"/>
    <n v="98"/>
    <n v="100"/>
    <x v="3"/>
    <x v="0"/>
    <x v="1"/>
    <x v="1"/>
    <x v="1"/>
    <x v="3"/>
    <s v="Normal"/>
  </r>
  <r>
    <n v="79"/>
    <d v="2011-01-04T00:00:00"/>
    <n v="1"/>
    <n v="0"/>
    <n v="1"/>
    <x v="10"/>
    <x v="0"/>
    <x v="3"/>
    <n v="2"/>
    <n v="0.16"/>
    <n v="0.13639999999999999"/>
    <n v="0.69"/>
    <n v="0.32840000000000003"/>
    <n v="5"/>
    <n v="37"/>
    <n v="42"/>
    <x v="3"/>
    <x v="1"/>
    <x v="0"/>
    <x v="0"/>
    <x v="1"/>
    <x v="3"/>
    <s v="Normal"/>
  </r>
  <r>
    <n v="80"/>
    <d v="2011-01-04T00:00:00"/>
    <n v="1"/>
    <n v="0"/>
    <n v="1"/>
    <x v="11"/>
    <x v="0"/>
    <x v="3"/>
    <n v="1"/>
    <n v="0.22"/>
    <n v="0.21210000000000001"/>
    <n v="0.51"/>
    <n v="0.29849999999999999"/>
    <n v="7"/>
    <n v="50"/>
    <n v="57"/>
    <x v="3"/>
    <x v="0"/>
    <x v="0"/>
    <x v="1"/>
    <x v="1"/>
    <x v="0"/>
    <s v="Normal"/>
  </r>
  <r>
    <n v="81"/>
    <d v="2011-01-04T00:00:00"/>
    <n v="1"/>
    <n v="0"/>
    <n v="1"/>
    <x v="12"/>
    <x v="0"/>
    <x v="3"/>
    <n v="1"/>
    <n v="0.22"/>
    <n v="0.2273"/>
    <n v="0.51"/>
    <n v="0.16420000000000001"/>
    <n v="12"/>
    <n v="66"/>
    <n v="78"/>
    <x v="3"/>
    <x v="0"/>
    <x v="0"/>
    <x v="1"/>
    <x v="2"/>
    <x v="0"/>
    <s v="Normal"/>
  </r>
  <r>
    <n v="82"/>
    <d v="2011-01-04T00:00:00"/>
    <n v="1"/>
    <n v="0"/>
    <n v="1"/>
    <x v="13"/>
    <x v="0"/>
    <x v="3"/>
    <n v="1"/>
    <n v="0.24"/>
    <n v="0.2273"/>
    <n v="0.56000000000000005"/>
    <n v="0.19400000000000001"/>
    <n v="18"/>
    <n v="79"/>
    <n v="97"/>
    <x v="3"/>
    <x v="0"/>
    <x v="0"/>
    <x v="1"/>
    <x v="2"/>
    <x v="0"/>
    <s v="Normal"/>
  </r>
  <r>
    <n v="83"/>
    <d v="2011-01-04T00:00:00"/>
    <n v="1"/>
    <n v="0"/>
    <n v="1"/>
    <x v="14"/>
    <x v="0"/>
    <x v="3"/>
    <n v="1"/>
    <n v="0.26"/>
    <n v="0.2576"/>
    <n v="0.52"/>
    <n v="0.22389999999999999"/>
    <n v="9"/>
    <n v="54"/>
    <n v="63"/>
    <x v="3"/>
    <x v="0"/>
    <x v="0"/>
    <x v="1"/>
    <x v="2"/>
    <x v="0"/>
    <s v="Normal"/>
  </r>
  <r>
    <n v="84"/>
    <d v="2011-01-04T00:00:00"/>
    <n v="1"/>
    <n v="0"/>
    <n v="1"/>
    <x v="15"/>
    <x v="0"/>
    <x v="3"/>
    <n v="1"/>
    <n v="0.28000000000000003"/>
    <n v="0.2727"/>
    <n v="0.52"/>
    <n v="0.25369999999999998"/>
    <n v="17"/>
    <n v="48"/>
    <n v="65"/>
    <x v="3"/>
    <x v="0"/>
    <x v="0"/>
    <x v="1"/>
    <x v="2"/>
    <x v="0"/>
    <s v="Normal"/>
  </r>
  <r>
    <n v="85"/>
    <d v="2011-01-04T00:00:00"/>
    <n v="1"/>
    <n v="0"/>
    <n v="1"/>
    <x v="16"/>
    <x v="0"/>
    <x v="3"/>
    <n v="1"/>
    <n v="0.3"/>
    <n v="0.28789999999999999"/>
    <n v="0.49"/>
    <n v="0.25369999999999998"/>
    <n v="15"/>
    <n v="68"/>
    <n v="83"/>
    <x v="3"/>
    <x v="0"/>
    <x v="0"/>
    <x v="1"/>
    <x v="2"/>
    <x v="1"/>
    <s v="Normal"/>
  </r>
  <r>
    <n v="86"/>
    <d v="2011-01-04T00:00:00"/>
    <n v="1"/>
    <n v="0"/>
    <n v="1"/>
    <x v="17"/>
    <x v="0"/>
    <x v="3"/>
    <n v="1"/>
    <n v="0.28000000000000003"/>
    <n v="0.2727"/>
    <n v="0.48"/>
    <n v="0.22389999999999999"/>
    <n v="10"/>
    <n v="202"/>
    <n v="212"/>
    <x v="3"/>
    <x v="0"/>
    <x v="1"/>
    <x v="2"/>
    <x v="2"/>
    <x v="0"/>
    <s v="⬆ Spike"/>
  </r>
  <r>
    <n v="87"/>
    <d v="2011-01-04T00:00:00"/>
    <n v="1"/>
    <n v="0"/>
    <n v="1"/>
    <x v="18"/>
    <x v="0"/>
    <x v="3"/>
    <n v="1"/>
    <n v="0.26"/>
    <n v="0.2576"/>
    <n v="0.48"/>
    <n v="0.19400000000000001"/>
    <n v="3"/>
    <n v="179"/>
    <n v="182"/>
    <x v="3"/>
    <x v="0"/>
    <x v="1"/>
    <x v="2"/>
    <x v="3"/>
    <x v="0"/>
    <s v="⬆ Spike"/>
  </r>
  <r>
    <n v="88"/>
    <d v="2011-01-04T00:00:00"/>
    <n v="1"/>
    <n v="0"/>
    <n v="1"/>
    <x v="19"/>
    <x v="0"/>
    <x v="3"/>
    <n v="1"/>
    <n v="0.24"/>
    <n v="0.2576"/>
    <n v="0.48"/>
    <n v="0.1045"/>
    <n v="2"/>
    <n v="110"/>
    <n v="112"/>
    <x v="3"/>
    <x v="0"/>
    <x v="1"/>
    <x v="1"/>
    <x v="3"/>
    <x v="0"/>
    <s v="Normal"/>
  </r>
  <r>
    <n v="89"/>
    <d v="2011-01-04T00:00:00"/>
    <n v="1"/>
    <n v="0"/>
    <n v="1"/>
    <x v="20"/>
    <x v="0"/>
    <x v="3"/>
    <n v="1"/>
    <n v="0.24"/>
    <n v="0.2576"/>
    <n v="0.48"/>
    <n v="0.1045"/>
    <n v="1"/>
    <n v="53"/>
    <n v="54"/>
    <x v="3"/>
    <x v="0"/>
    <x v="0"/>
    <x v="1"/>
    <x v="3"/>
    <x v="0"/>
    <s v="Normal"/>
  </r>
  <r>
    <n v="90"/>
    <d v="2011-01-04T00:00:00"/>
    <n v="1"/>
    <n v="0"/>
    <n v="1"/>
    <x v="21"/>
    <x v="0"/>
    <x v="3"/>
    <n v="1"/>
    <n v="0.22"/>
    <n v="0.2727"/>
    <n v="0.64"/>
    <n v="0"/>
    <n v="0"/>
    <n v="48"/>
    <n v="48"/>
    <x v="3"/>
    <x v="0"/>
    <x v="0"/>
    <x v="0"/>
    <x v="3"/>
    <x v="0"/>
    <s v="Normal"/>
  </r>
  <r>
    <n v="91"/>
    <d v="2011-01-04T00:00:00"/>
    <n v="1"/>
    <n v="0"/>
    <n v="1"/>
    <x v="22"/>
    <x v="0"/>
    <x v="3"/>
    <n v="1"/>
    <n v="0.22"/>
    <n v="0.2576"/>
    <n v="0.64"/>
    <n v="8.9599999999999999E-2"/>
    <n v="1"/>
    <n v="34"/>
    <n v="35"/>
    <x v="3"/>
    <x v="0"/>
    <x v="0"/>
    <x v="0"/>
    <x v="3"/>
    <x v="0"/>
    <s v="Normal"/>
  </r>
  <r>
    <n v="92"/>
    <d v="2011-01-04T00:00:00"/>
    <n v="1"/>
    <n v="0"/>
    <n v="1"/>
    <x v="23"/>
    <x v="0"/>
    <x v="3"/>
    <n v="1"/>
    <n v="0.2"/>
    <n v="0.2273"/>
    <n v="0.69"/>
    <n v="8.9599999999999999E-2"/>
    <n v="2"/>
    <n v="9"/>
    <n v="11"/>
    <x v="3"/>
    <x v="0"/>
    <x v="0"/>
    <x v="0"/>
    <x v="3"/>
    <x v="0"/>
    <s v="Normal"/>
  </r>
  <r>
    <n v="93"/>
    <d v="2011-01-05T00:00:00"/>
    <n v="1"/>
    <n v="0"/>
    <n v="1"/>
    <x v="0"/>
    <x v="0"/>
    <x v="4"/>
    <n v="1"/>
    <n v="0.2"/>
    <n v="0.2576"/>
    <n v="0.64"/>
    <n v="0"/>
    <n v="0"/>
    <n v="6"/>
    <n v="6"/>
    <x v="4"/>
    <x v="0"/>
    <x v="0"/>
    <x v="0"/>
    <x v="0"/>
    <x v="0"/>
    <s v="Normal"/>
  </r>
  <r>
    <n v="94"/>
    <d v="2011-01-05T00:00:00"/>
    <n v="1"/>
    <n v="0"/>
    <n v="1"/>
    <x v="1"/>
    <x v="0"/>
    <x v="4"/>
    <n v="1"/>
    <n v="0.16"/>
    <n v="0.19700000000000001"/>
    <n v="0.74"/>
    <n v="8.9599999999999999E-2"/>
    <n v="0"/>
    <n v="6"/>
    <n v="6"/>
    <x v="4"/>
    <x v="0"/>
    <x v="0"/>
    <x v="0"/>
    <x v="0"/>
    <x v="3"/>
    <s v="Normal"/>
  </r>
  <r>
    <n v="95"/>
    <d v="2011-01-05T00:00:00"/>
    <n v="1"/>
    <n v="0"/>
    <n v="1"/>
    <x v="2"/>
    <x v="0"/>
    <x v="4"/>
    <n v="1"/>
    <n v="0.16"/>
    <n v="0.19700000000000001"/>
    <n v="0.74"/>
    <n v="8.9599999999999999E-2"/>
    <n v="0"/>
    <n v="2"/>
    <n v="2"/>
    <x v="4"/>
    <x v="0"/>
    <x v="0"/>
    <x v="0"/>
    <x v="0"/>
    <x v="3"/>
    <s v="Normal"/>
  </r>
  <r>
    <n v="96"/>
    <d v="2011-01-05T00:00:00"/>
    <n v="1"/>
    <n v="0"/>
    <n v="1"/>
    <x v="4"/>
    <x v="0"/>
    <x v="4"/>
    <n v="1"/>
    <n v="0.24"/>
    <n v="0.2273"/>
    <n v="0.48"/>
    <n v="0.22389999999999999"/>
    <n v="0"/>
    <n v="2"/>
    <n v="2"/>
    <x v="4"/>
    <x v="0"/>
    <x v="0"/>
    <x v="0"/>
    <x v="0"/>
    <x v="0"/>
    <s v="Normal"/>
  </r>
  <r>
    <n v="97"/>
    <d v="2011-01-05T00:00:00"/>
    <n v="1"/>
    <n v="0"/>
    <n v="1"/>
    <x v="5"/>
    <x v="0"/>
    <x v="4"/>
    <n v="1"/>
    <n v="0.22"/>
    <n v="0.2273"/>
    <n v="0.47"/>
    <n v="0.16420000000000001"/>
    <n v="0"/>
    <n v="3"/>
    <n v="3"/>
    <x v="4"/>
    <x v="0"/>
    <x v="0"/>
    <x v="0"/>
    <x v="0"/>
    <x v="0"/>
    <s v="Normal"/>
  </r>
  <r>
    <n v="98"/>
    <d v="2011-01-05T00:00:00"/>
    <n v="1"/>
    <n v="0"/>
    <n v="1"/>
    <x v="6"/>
    <x v="0"/>
    <x v="4"/>
    <n v="1"/>
    <n v="0.2"/>
    <n v="0.19700000000000001"/>
    <n v="0.47"/>
    <n v="0.22389999999999999"/>
    <n v="0"/>
    <n v="33"/>
    <n v="33"/>
    <x v="4"/>
    <x v="0"/>
    <x v="0"/>
    <x v="0"/>
    <x v="1"/>
    <x v="0"/>
    <s v="Normal"/>
  </r>
  <r>
    <n v="99"/>
    <d v="2011-01-05T00:00:00"/>
    <n v="1"/>
    <n v="0"/>
    <n v="1"/>
    <x v="7"/>
    <x v="0"/>
    <x v="4"/>
    <n v="1"/>
    <n v="0.18"/>
    <n v="0.18179999999999999"/>
    <n v="0.43"/>
    <n v="0.19400000000000001"/>
    <n v="1"/>
    <n v="87"/>
    <n v="88"/>
    <x v="4"/>
    <x v="0"/>
    <x v="1"/>
    <x v="1"/>
    <x v="1"/>
    <x v="3"/>
    <s v="Normal"/>
  </r>
  <r>
    <n v="100"/>
    <d v="2011-01-05T00:00:00"/>
    <n v="1"/>
    <n v="0"/>
    <n v="1"/>
    <x v="8"/>
    <x v="0"/>
    <x v="4"/>
    <n v="1"/>
    <n v="0.2"/>
    <n v="0.18179999999999999"/>
    <n v="0.4"/>
    <n v="0.29849999999999999"/>
    <n v="3"/>
    <n v="192"/>
    <n v="195"/>
    <x v="4"/>
    <x v="0"/>
    <x v="1"/>
    <x v="2"/>
    <x v="1"/>
    <x v="0"/>
    <s v="⬆ Spike"/>
  </r>
  <r>
    <n v="101"/>
    <d v="2011-01-05T00:00:00"/>
    <n v="1"/>
    <n v="0"/>
    <n v="1"/>
    <x v="9"/>
    <x v="0"/>
    <x v="4"/>
    <n v="1"/>
    <n v="0.22"/>
    <n v="0.19700000000000001"/>
    <n v="0.37"/>
    <n v="0.32840000000000003"/>
    <n v="6"/>
    <n v="109"/>
    <n v="115"/>
    <x v="4"/>
    <x v="0"/>
    <x v="1"/>
    <x v="1"/>
    <x v="1"/>
    <x v="0"/>
    <s v="Normal"/>
  </r>
  <r>
    <n v="102"/>
    <d v="2011-01-05T00:00:00"/>
    <n v="1"/>
    <n v="0"/>
    <n v="1"/>
    <x v="10"/>
    <x v="0"/>
    <x v="4"/>
    <n v="1"/>
    <n v="0.22"/>
    <n v="0.19700000000000001"/>
    <n v="0.37"/>
    <n v="0.32840000000000003"/>
    <n v="4"/>
    <n v="53"/>
    <n v="57"/>
    <x v="4"/>
    <x v="0"/>
    <x v="0"/>
    <x v="1"/>
    <x v="1"/>
    <x v="0"/>
    <s v="Normal"/>
  </r>
  <r>
    <n v="103"/>
    <d v="2011-01-05T00:00:00"/>
    <n v="1"/>
    <n v="0"/>
    <n v="1"/>
    <x v="11"/>
    <x v="0"/>
    <x v="4"/>
    <n v="1"/>
    <n v="0.26"/>
    <n v="0.2273"/>
    <n v="0.33"/>
    <n v="0.32840000000000003"/>
    <n v="12"/>
    <n v="34"/>
    <n v="46"/>
    <x v="4"/>
    <x v="0"/>
    <x v="0"/>
    <x v="0"/>
    <x v="1"/>
    <x v="0"/>
    <s v="Normal"/>
  </r>
  <r>
    <n v="104"/>
    <d v="2011-01-05T00:00:00"/>
    <n v="1"/>
    <n v="0"/>
    <n v="1"/>
    <x v="12"/>
    <x v="0"/>
    <x v="4"/>
    <n v="1"/>
    <n v="0.26"/>
    <n v="0.2273"/>
    <n v="0.33"/>
    <n v="0.32840000000000003"/>
    <n v="5"/>
    <n v="74"/>
    <n v="79"/>
    <x v="4"/>
    <x v="0"/>
    <x v="0"/>
    <x v="1"/>
    <x v="2"/>
    <x v="0"/>
    <s v="Normal"/>
  </r>
  <r>
    <n v="105"/>
    <d v="2011-01-05T00:00:00"/>
    <n v="1"/>
    <n v="0"/>
    <n v="1"/>
    <x v="13"/>
    <x v="0"/>
    <x v="4"/>
    <n v="1"/>
    <n v="0.28000000000000003"/>
    <n v="0.2576"/>
    <n v="0.3"/>
    <n v="0.29849999999999999"/>
    <n v="6"/>
    <n v="65"/>
    <n v="71"/>
    <x v="4"/>
    <x v="0"/>
    <x v="0"/>
    <x v="1"/>
    <x v="2"/>
    <x v="0"/>
    <s v="Normal"/>
  </r>
  <r>
    <n v="106"/>
    <d v="2011-01-05T00:00:00"/>
    <n v="1"/>
    <n v="0"/>
    <n v="1"/>
    <x v="14"/>
    <x v="0"/>
    <x v="4"/>
    <n v="1"/>
    <n v="0.3"/>
    <n v="0.28789999999999999"/>
    <n v="0.28000000000000003"/>
    <n v="0.19400000000000001"/>
    <n v="10"/>
    <n v="52"/>
    <n v="62"/>
    <x v="4"/>
    <x v="0"/>
    <x v="0"/>
    <x v="1"/>
    <x v="2"/>
    <x v="1"/>
    <s v="Normal"/>
  </r>
  <r>
    <n v="107"/>
    <d v="2011-01-05T00:00:00"/>
    <n v="1"/>
    <n v="0"/>
    <n v="1"/>
    <x v="15"/>
    <x v="0"/>
    <x v="4"/>
    <n v="1"/>
    <n v="0.3"/>
    <n v="0.28789999999999999"/>
    <n v="0.28000000000000003"/>
    <n v="0.19400000000000001"/>
    <n v="7"/>
    <n v="55"/>
    <n v="62"/>
    <x v="4"/>
    <x v="0"/>
    <x v="0"/>
    <x v="1"/>
    <x v="2"/>
    <x v="1"/>
    <s v="Normal"/>
  </r>
  <r>
    <n v="108"/>
    <d v="2011-01-05T00:00:00"/>
    <n v="1"/>
    <n v="0"/>
    <n v="1"/>
    <x v="16"/>
    <x v="0"/>
    <x v="4"/>
    <n v="1"/>
    <n v="0.3"/>
    <n v="0.31819999999999998"/>
    <n v="0.28000000000000003"/>
    <n v="8.9599999999999999E-2"/>
    <n v="4"/>
    <n v="85"/>
    <n v="89"/>
    <x v="4"/>
    <x v="0"/>
    <x v="0"/>
    <x v="1"/>
    <x v="2"/>
    <x v="1"/>
    <s v="Normal"/>
  </r>
  <r>
    <n v="109"/>
    <d v="2011-01-05T00:00:00"/>
    <n v="1"/>
    <n v="0"/>
    <n v="1"/>
    <x v="17"/>
    <x v="0"/>
    <x v="4"/>
    <n v="1"/>
    <n v="0.24"/>
    <n v="0.2273"/>
    <n v="0.38"/>
    <n v="0.19400000000000001"/>
    <n v="4"/>
    <n v="186"/>
    <n v="190"/>
    <x v="4"/>
    <x v="0"/>
    <x v="1"/>
    <x v="2"/>
    <x v="2"/>
    <x v="0"/>
    <s v="⬆ Spike"/>
  </r>
  <r>
    <n v="110"/>
    <d v="2011-01-05T00:00:00"/>
    <n v="1"/>
    <n v="0"/>
    <n v="1"/>
    <x v="18"/>
    <x v="0"/>
    <x v="4"/>
    <n v="1"/>
    <n v="0.24"/>
    <n v="0.2424"/>
    <n v="0.38"/>
    <n v="0.1343"/>
    <n v="3"/>
    <n v="166"/>
    <n v="169"/>
    <x v="4"/>
    <x v="0"/>
    <x v="1"/>
    <x v="2"/>
    <x v="3"/>
    <x v="0"/>
    <s v="⬆ Spike"/>
  </r>
  <r>
    <n v="111"/>
    <d v="2011-01-05T00:00:00"/>
    <n v="1"/>
    <n v="0"/>
    <n v="1"/>
    <x v="19"/>
    <x v="0"/>
    <x v="4"/>
    <n v="1"/>
    <n v="0.24"/>
    <n v="0.2576"/>
    <n v="0.38"/>
    <n v="0.1045"/>
    <n v="5"/>
    <n v="127"/>
    <n v="132"/>
    <x v="4"/>
    <x v="0"/>
    <x v="1"/>
    <x v="1"/>
    <x v="3"/>
    <x v="0"/>
    <s v="Normal"/>
  </r>
  <r>
    <n v="112"/>
    <d v="2011-01-05T00:00:00"/>
    <n v="1"/>
    <n v="0"/>
    <n v="1"/>
    <x v="20"/>
    <x v="0"/>
    <x v="4"/>
    <n v="1"/>
    <n v="0.22"/>
    <n v="0.2273"/>
    <n v="0.47"/>
    <n v="0.16420000000000001"/>
    <n v="7"/>
    <n v="82"/>
    <n v="89"/>
    <x v="4"/>
    <x v="0"/>
    <x v="0"/>
    <x v="1"/>
    <x v="3"/>
    <x v="0"/>
    <s v="Normal"/>
  </r>
  <r>
    <n v="113"/>
    <d v="2011-01-05T00:00:00"/>
    <n v="1"/>
    <n v="0"/>
    <n v="1"/>
    <x v="21"/>
    <x v="0"/>
    <x v="4"/>
    <n v="1"/>
    <n v="0.2"/>
    <n v="0.19700000000000001"/>
    <n v="0.51"/>
    <n v="0.19400000000000001"/>
    <n v="3"/>
    <n v="40"/>
    <n v="43"/>
    <x v="4"/>
    <x v="0"/>
    <x v="0"/>
    <x v="0"/>
    <x v="3"/>
    <x v="0"/>
    <s v="Normal"/>
  </r>
  <r>
    <n v="114"/>
    <d v="2011-01-05T00:00:00"/>
    <n v="1"/>
    <n v="0"/>
    <n v="1"/>
    <x v="22"/>
    <x v="0"/>
    <x v="4"/>
    <n v="1"/>
    <n v="0.18"/>
    <n v="0.19700000000000001"/>
    <n v="0.55000000000000004"/>
    <n v="0.1343"/>
    <n v="1"/>
    <n v="41"/>
    <n v="42"/>
    <x v="4"/>
    <x v="0"/>
    <x v="0"/>
    <x v="0"/>
    <x v="3"/>
    <x v="3"/>
    <s v="Normal"/>
  </r>
  <r>
    <n v="115"/>
    <d v="2011-01-05T00:00:00"/>
    <n v="1"/>
    <n v="0"/>
    <n v="1"/>
    <x v="23"/>
    <x v="0"/>
    <x v="4"/>
    <n v="1"/>
    <n v="0.2"/>
    <n v="0.2576"/>
    <n v="0.47"/>
    <n v="0"/>
    <n v="1"/>
    <n v="18"/>
    <n v="19"/>
    <x v="4"/>
    <x v="0"/>
    <x v="0"/>
    <x v="0"/>
    <x v="3"/>
    <x v="0"/>
    <s v="Normal"/>
  </r>
  <r>
    <n v="116"/>
    <d v="2011-01-06T00:00:00"/>
    <n v="1"/>
    <n v="0"/>
    <n v="1"/>
    <x v="0"/>
    <x v="0"/>
    <x v="5"/>
    <n v="1"/>
    <n v="0.18"/>
    <n v="0.2424"/>
    <n v="0.55000000000000004"/>
    <n v="0"/>
    <n v="0"/>
    <n v="11"/>
    <n v="11"/>
    <x v="5"/>
    <x v="0"/>
    <x v="0"/>
    <x v="0"/>
    <x v="0"/>
    <x v="3"/>
    <s v="Normal"/>
  </r>
  <r>
    <n v="117"/>
    <d v="2011-01-06T00:00:00"/>
    <n v="1"/>
    <n v="0"/>
    <n v="1"/>
    <x v="1"/>
    <x v="0"/>
    <x v="5"/>
    <n v="1"/>
    <n v="0.16"/>
    <n v="0.2273"/>
    <n v="0.64"/>
    <n v="0"/>
    <n v="0"/>
    <n v="4"/>
    <n v="4"/>
    <x v="5"/>
    <x v="0"/>
    <x v="0"/>
    <x v="0"/>
    <x v="0"/>
    <x v="3"/>
    <s v="Normal"/>
  </r>
  <r>
    <n v="118"/>
    <d v="2011-01-06T00:00:00"/>
    <n v="1"/>
    <n v="0"/>
    <n v="1"/>
    <x v="2"/>
    <x v="0"/>
    <x v="5"/>
    <n v="1"/>
    <n v="0.16"/>
    <n v="0.2273"/>
    <n v="0.64"/>
    <n v="0"/>
    <n v="0"/>
    <n v="2"/>
    <n v="2"/>
    <x v="5"/>
    <x v="0"/>
    <x v="0"/>
    <x v="0"/>
    <x v="0"/>
    <x v="3"/>
    <s v="Normal"/>
  </r>
  <r>
    <n v="119"/>
    <d v="2011-01-06T00:00:00"/>
    <n v="1"/>
    <n v="0"/>
    <n v="1"/>
    <x v="4"/>
    <x v="0"/>
    <x v="5"/>
    <n v="2"/>
    <n v="0.16"/>
    <n v="0.19700000000000001"/>
    <n v="0.64"/>
    <n v="8.9599999999999999E-2"/>
    <n v="0"/>
    <n v="1"/>
    <n v="1"/>
    <x v="5"/>
    <x v="1"/>
    <x v="0"/>
    <x v="0"/>
    <x v="0"/>
    <x v="3"/>
    <s v="Normal"/>
  </r>
  <r>
    <n v="120"/>
    <d v="2011-01-06T00:00:00"/>
    <n v="1"/>
    <n v="0"/>
    <n v="1"/>
    <x v="5"/>
    <x v="0"/>
    <x v="5"/>
    <n v="2"/>
    <n v="0.14000000000000001"/>
    <n v="0.18179999999999999"/>
    <n v="0.69"/>
    <n v="8.9599999999999999E-2"/>
    <n v="0"/>
    <n v="4"/>
    <n v="4"/>
    <x v="5"/>
    <x v="1"/>
    <x v="0"/>
    <x v="0"/>
    <x v="0"/>
    <x v="3"/>
    <s v="Normal"/>
  </r>
  <r>
    <n v="121"/>
    <d v="2011-01-06T00:00:00"/>
    <n v="1"/>
    <n v="0"/>
    <n v="1"/>
    <x v="6"/>
    <x v="0"/>
    <x v="5"/>
    <n v="2"/>
    <n v="0.14000000000000001"/>
    <n v="0.16669999999999999"/>
    <n v="0.63"/>
    <n v="0.1045"/>
    <n v="0"/>
    <n v="36"/>
    <n v="36"/>
    <x v="5"/>
    <x v="1"/>
    <x v="0"/>
    <x v="0"/>
    <x v="1"/>
    <x v="3"/>
    <s v="Normal"/>
  </r>
  <r>
    <n v="122"/>
    <d v="2011-01-06T00:00:00"/>
    <n v="1"/>
    <n v="0"/>
    <n v="1"/>
    <x v="7"/>
    <x v="0"/>
    <x v="5"/>
    <n v="2"/>
    <n v="0.16"/>
    <n v="0.2273"/>
    <n v="0.59"/>
    <n v="0"/>
    <n v="0"/>
    <n v="95"/>
    <n v="95"/>
    <x v="5"/>
    <x v="1"/>
    <x v="1"/>
    <x v="1"/>
    <x v="1"/>
    <x v="3"/>
    <s v="Normal"/>
  </r>
  <r>
    <n v="123"/>
    <d v="2011-01-06T00:00:00"/>
    <n v="1"/>
    <n v="0"/>
    <n v="1"/>
    <x v="8"/>
    <x v="0"/>
    <x v="5"/>
    <n v="1"/>
    <n v="0.16"/>
    <n v="0.2273"/>
    <n v="0.59"/>
    <n v="0"/>
    <n v="3"/>
    <n v="216"/>
    <n v="219"/>
    <x v="5"/>
    <x v="0"/>
    <x v="1"/>
    <x v="2"/>
    <x v="1"/>
    <x v="3"/>
    <s v="⬆ Spike"/>
  </r>
  <r>
    <n v="124"/>
    <d v="2011-01-06T00:00:00"/>
    <n v="1"/>
    <n v="0"/>
    <n v="1"/>
    <x v="9"/>
    <x v="0"/>
    <x v="5"/>
    <n v="2"/>
    <n v="0.18"/>
    <n v="0.2424"/>
    <n v="0.51"/>
    <n v="0"/>
    <n v="6"/>
    <n v="116"/>
    <n v="122"/>
    <x v="5"/>
    <x v="1"/>
    <x v="1"/>
    <x v="1"/>
    <x v="1"/>
    <x v="3"/>
    <s v="Normal"/>
  </r>
  <r>
    <n v="125"/>
    <d v="2011-01-06T00:00:00"/>
    <n v="1"/>
    <n v="0"/>
    <n v="1"/>
    <x v="10"/>
    <x v="0"/>
    <x v="5"/>
    <n v="1"/>
    <n v="0.2"/>
    <n v="0.2576"/>
    <n v="0.47"/>
    <n v="0"/>
    <n v="3"/>
    <n v="42"/>
    <n v="45"/>
    <x v="5"/>
    <x v="0"/>
    <x v="0"/>
    <x v="0"/>
    <x v="1"/>
    <x v="0"/>
    <s v="Normal"/>
  </r>
  <r>
    <n v="126"/>
    <d v="2011-01-06T00:00:00"/>
    <n v="1"/>
    <n v="0"/>
    <n v="1"/>
    <x v="11"/>
    <x v="0"/>
    <x v="5"/>
    <n v="1"/>
    <n v="0.22"/>
    <n v="0.2576"/>
    <n v="0.44"/>
    <n v="8.9599999999999999E-2"/>
    <n v="2"/>
    <n v="57"/>
    <n v="59"/>
    <x v="5"/>
    <x v="0"/>
    <x v="0"/>
    <x v="1"/>
    <x v="1"/>
    <x v="0"/>
    <s v="Normal"/>
  </r>
  <r>
    <n v="127"/>
    <d v="2011-01-06T00:00:00"/>
    <n v="1"/>
    <n v="0"/>
    <n v="1"/>
    <x v="12"/>
    <x v="0"/>
    <x v="5"/>
    <n v="1"/>
    <n v="0.26"/>
    <n v="0.28789999999999999"/>
    <n v="0.35"/>
    <n v="0"/>
    <n v="6"/>
    <n v="78"/>
    <n v="84"/>
    <x v="5"/>
    <x v="0"/>
    <x v="0"/>
    <x v="1"/>
    <x v="2"/>
    <x v="0"/>
    <s v="Normal"/>
  </r>
  <r>
    <n v="128"/>
    <d v="2011-01-06T00:00:00"/>
    <n v="1"/>
    <n v="0"/>
    <n v="1"/>
    <x v="13"/>
    <x v="0"/>
    <x v="5"/>
    <n v="1"/>
    <n v="0.26"/>
    <n v="0.2727"/>
    <n v="0.35"/>
    <n v="0.1045"/>
    <n v="12"/>
    <n v="55"/>
    <n v="67"/>
    <x v="5"/>
    <x v="0"/>
    <x v="0"/>
    <x v="1"/>
    <x v="2"/>
    <x v="0"/>
    <s v="Normal"/>
  </r>
  <r>
    <n v="129"/>
    <d v="2011-01-06T00:00:00"/>
    <n v="1"/>
    <n v="0"/>
    <n v="1"/>
    <x v="14"/>
    <x v="0"/>
    <x v="5"/>
    <n v="1"/>
    <n v="0.28000000000000003"/>
    <n v="0.2727"/>
    <n v="0.36"/>
    <n v="0.16420000000000001"/>
    <n v="11"/>
    <n v="59"/>
    <n v="70"/>
    <x v="5"/>
    <x v="0"/>
    <x v="0"/>
    <x v="1"/>
    <x v="2"/>
    <x v="0"/>
    <s v="Normal"/>
  </r>
  <r>
    <n v="130"/>
    <d v="2011-01-06T00:00:00"/>
    <n v="1"/>
    <n v="0"/>
    <n v="1"/>
    <x v="15"/>
    <x v="0"/>
    <x v="5"/>
    <n v="1"/>
    <n v="0.28000000000000003"/>
    <n v="0.2727"/>
    <n v="0.36"/>
    <n v="0"/>
    <n v="8"/>
    <n v="54"/>
    <n v="62"/>
    <x v="5"/>
    <x v="0"/>
    <x v="0"/>
    <x v="1"/>
    <x v="2"/>
    <x v="0"/>
    <s v="Normal"/>
  </r>
  <r>
    <n v="131"/>
    <d v="2011-01-06T00:00:00"/>
    <n v="1"/>
    <n v="0"/>
    <n v="1"/>
    <x v="16"/>
    <x v="0"/>
    <x v="5"/>
    <n v="1"/>
    <n v="0.26"/>
    <n v="0.2576"/>
    <n v="0.38"/>
    <n v="0.16420000000000001"/>
    <n v="12"/>
    <n v="74"/>
    <n v="86"/>
    <x v="5"/>
    <x v="0"/>
    <x v="0"/>
    <x v="1"/>
    <x v="2"/>
    <x v="0"/>
    <s v="Normal"/>
  </r>
  <r>
    <n v="132"/>
    <d v="2011-01-06T00:00:00"/>
    <n v="1"/>
    <n v="0"/>
    <n v="1"/>
    <x v="17"/>
    <x v="0"/>
    <x v="5"/>
    <n v="1"/>
    <n v="0.22"/>
    <n v="0.2273"/>
    <n v="0.51"/>
    <n v="0.16420000000000001"/>
    <n v="9"/>
    <n v="163"/>
    <n v="172"/>
    <x v="5"/>
    <x v="0"/>
    <x v="1"/>
    <x v="2"/>
    <x v="2"/>
    <x v="0"/>
    <s v="⬆ Spike"/>
  </r>
  <r>
    <n v="133"/>
    <d v="2011-01-06T00:00:00"/>
    <n v="1"/>
    <n v="0"/>
    <n v="1"/>
    <x v="18"/>
    <x v="0"/>
    <x v="5"/>
    <n v="1"/>
    <n v="0.22"/>
    <n v="0.2273"/>
    <n v="0.51"/>
    <n v="0.1343"/>
    <n v="5"/>
    <n v="158"/>
    <n v="163"/>
    <x v="5"/>
    <x v="0"/>
    <x v="1"/>
    <x v="2"/>
    <x v="3"/>
    <x v="0"/>
    <s v="⬆ Spike"/>
  </r>
  <r>
    <n v="134"/>
    <d v="2011-01-06T00:00:00"/>
    <n v="1"/>
    <n v="0"/>
    <n v="1"/>
    <x v="19"/>
    <x v="0"/>
    <x v="5"/>
    <n v="1"/>
    <n v="0.22"/>
    <n v="0.2576"/>
    <n v="0.55000000000000004"/>
    <n v="8.9599999999999999E-2"/>
    <n v="3"/>
    <n v="109"/>
    <n v="112"/>
    <x v="5"/>
    <x v="0"/>
    <x v="1"/>
    <x v="1"/>
    <x v="3"/>
    <x v="0"/>
    <s v="Normal"/>
  </r>
  <r>
    <n v="135"/>
    <d v="2011-01-06T00:00:00"/>
    <n v="1"/>
    <n v="0"/>
    <n v="1"/>
    <x v="20"/>
    <x v="0"/>
    <x v="5"/>
    <n v="1"/>
    <n v="0.2"/>
    <n v="0.21210000000000001"/>
    <n v="0.51"/>
    <n v="0.16420000000000001"/>
    <n v="3"/>
    <n v="66"/>
    <n v="69"/>
    <x v="5"/>
    <x v="0"/>
    <x v="0"/>
    <x v="1"/>
    <x v="3"/>
    <x v="0"/>
    <s v="Normal"/>
  </r>
  <r>
    <n v="136"/>
    <d v="2011-01-06T00:00:00"/>
    <n v="1"/>
    <n v="0"/>
    <n v="1"/>
    <x v="21"/>
    <x v="0"/>
    <x v="5"/>
    <n v="2"/>
    <n v="0.22"/>
    <n v="0.21210000000000001"/>
    <n v="0.55000000000000004"/>
    <n v="0.22389999999999999"/>
    <n v="0"/>
    <n v="48"/>
    <n v="48"/>
    <x v="5"/>
    <x v="1"/>
    <x v="0"/>
    <x v="0"/>
    <x v="3"/>
    <x v="0"/>
    <s v="Normal"/>
  </r>
  <r>
    <n v="137"/>
    <d v="2011-01-06T00:00:00"/>
    <n v="1"/>
    <n v="0"/>
    <n v="1"/>
    <x v="22"/>
    <x v="0"/>
    <x v="5"/>
    <n v="2"/>
    <n v="0.22"/>
    <n v="0.21210000000000001"/>
    <n v="0.51"/>
    <n v="0.28360000000000002"/>
    <n v="1"/>
    <n v="51"/>
    <n v="52"/>
    <x v="5"/>
    <x v="1"/>
    <x v="0"/>
    <x v="1"/>
    <x v="3"/>
    <x v="0"/>
    <s v="Normal"/>
  </r>
  <r>
    <n v="138"/>
    <d v="2011-01-06T00:00:00"/>
    <n v="1"/>
    <n v="0"/>
    <n v="1"/>
    <x v="23"/>
    <x v="0"/>
    <x v="5"/>
    <n v="2"/>
    <n v="0.2"/>
    <n v="0.19700000000000001"/>
    <n v="0.59"/>
    <n v="0.19400000000000001"/>
    <n v="4"/>
    <n v="19"/>
    <n v="23"/>
    <x v="5"/>
    <x v="1"/>
    <x v="0"/>
    <x v="0"/>
    <x v="3"/>
    <x v="0"/>
    <s v="Normal"/>
  </r>
  <r>
    <n v="139"/>
    <d v="2011-01-07T00:00:00"/>
    <n v="1"/>
    <n v="0"/>
    <n v="1"/>
    <x v="0"/>
    <x v="0"/>
    <x v="6"/>
    <n v="2"/>
    <n v="0.2"/>
    <n v="0.19700000000000001"/>
    <n v="0.64"/>
    <n v="0.19400000000000001"/>
    <n v="4"/>
    <n v="13"/>
    <n v="17"/>
    <x v="6"/>
    <x v="1"/>
    <x v="0"/>
    <x v="0"/>
    <x v="0"/>
    <x v="0"/>
    <s v="Normal"/>
  </r>
  <r>
    <n v="140"/>
    <d v="2011-01-07T00:00:00"/>
    <n v="1"/>
    <n v="0"/>
    <n v="1"/>
    <x v="1"/>
    <x v="0"/>
    <x v="6"/>
    <n v="2"/>
    <n v="0.2"/>
    <n v="0.19700000000000001"/>
    <n v="0.69"/>
    <n v="0.22389999999999999"/>
    <n v="2"/>
    <n v="5"/>
    <n v="7"/>
    <x v="6"/>
    <x v="1"/>
    <x v="0"/>
    <x v="0"/>
    <x v="0"/>
    <x v="0"/>
    <s v="Normal"/>
  </r>
  <r>
    <n v="141"/>
    <d v="2011-01-07T00:00:00"/>
    <n v="1"/>
    <n v="0"/>
    <n v="1"/>
    <x v="2"/>
    <x v="0"/>
    <x v="6"/>
    <n v="2"/>
    <n v="0.2"/>
    <n v="0.19700000000000001"/>
    <n v="0.69"/>
    <n v="0.22389999999999999"/>
    <n v="0"/>
    <n v="1"/>
    <n v="1"/>
    <x v="6"/>
    <x v="1"/>
    <x v="0"/>
    <x v="0"/>
    <x v="0"/>
    <x v="0"/>
    <s v="Normal"/>
  </r>
  <r>
    <n v="142"/>
    <d v="2011-01-07T00:00:00"/>
    <n v="1"/>
    <n v="0"/>
    <n v="1"/>
    <x v="4"/>
    <x v="0"/>
    <x v="6"/>
    <n v="2"/>
    <n v="0.2"/>
    <n v="0.21210000000000001"/>
    <n v="0.69"/>
    <n v="0.1343"/>
    <n v="0"/>
    <n v="1"/>
    <n v="1"/>
    <x v="6"/>
    <x v="1"/>
    <x v="0"/>
    <x v="0"/>
    <x v="0"/>
    <x v="0"/>
    <s v="Normal"/>
  </r>
  <r>
    <n v="143"/>
    <d v="2011-01-07T00:00:00"/>
    <n v="1"/>
    <n v="0"/>
    <n v="1"/>
    <x v="5"/>
    <x v="0"/>
    <x v="6"/>
    <n v="3"/>
    <n v="0.22"/>
    <n v="0.2727"/>
    <n v="0.55000000000000004"/>
    <n v="0"/>
    <n v="0"/>
    <n v="5"/>
    <n v="5"/>
    <x v="6"/>
    <x v="2"/>
    <x v="0"/>
    <x v="0"/>
    <x v="0"/>
    <x v="0"/>
    <s v="Normal"/>
  </r>
  <r>
    <n v="144"/>
    <d v="2011-01-07T00:00:00"/>
    <n v="1"/>
    <n v="0"/>
    <n v="1"/>
    <x v="6"/>
    <x v="0"/>
    <x v="6"/>
    <n v="2"/>
    <n v="0.2"/>
    <n v="0.2576"/>
    <n v="0.69"/>
    <n v="0"/>
    <n v="8"/>
    <n v="26"/>
    <n v="34"/>
    <x v="6"/>
    <x v="1"/>
    <x v="0"/>
    <x v="0"/>
    <x v="1"/>
    <x v="0"/>
    <s v="Normal"/>
  </r>
  <r>
    <n v="145"/>
    <d v="2011-01-07T00:00:00"/>
    <n v="1"/>
    <n v="0"/>
    <n v="1"/>
    <x v="7"/>
    <x v="0"/>
    <x v="6"/>
    <n v="1"/>
    <n v="0.2"/>
    <n v="0.21210000000000001"/>
    <n v="0.69"/>
    <n v="0.1343"/>
    <n v="8"/>
    <n v="76"/>
    <n v="84"/>
    <x v="6"/>
    <x v="0"/>
    <x v="1"/>
    <x v="1"/>
    <x v="1"/>
    <x v="0"/>
    <s v="Normal"/>
  </r>
  <r>
    <n v="146"/>
    <d v="2011-01-07T00:00:00"/>
    <n v="1"/>
    <n v="0"/>
    <n v="1"/>
    <x v="8"/>
    <x v="0"/>
    <x v="6"/>
    <n v="1"/>
    <n v="0.2"/>
    <n v="0.19700000000000001"/>
    <n v="0.51"/>
    <n v="0.25369999999999998"/>
    <n v="20"/>
    <n v="190"/>
    <n v="210"/>
    <x v="6"/>
    <x v="0"/>
    <x v="1"/>
    <x v="2"/>
    <x v="1"/>
    <x v="0"/>
    <s v="⬆ Spike"/>
  </r>
  <r>
    <n v="147"/>
    <d v="2011-01-07T00:00:00"/>
    <n v="1"/>
    <n v="0"/>
    <n v="1"/>
    <x v="9"/>
    <x v="0"/>
    <x v="6"/>
    <n v="1"/>
    <n v="0.2"/>
    <n v="0.18179999999999999"/>
    <n v="0.47"/>
    <n v="0.29849999999999999"/>
    <n v="9"/>
    <n v="125"/>
    <n v="134"/>
    <x v="6"/>
    <x v="0"/>
    <x v="1"/>
    <x v="1"/>
    <x v="1"/>
    <x v="0"/>
    <s v="Normal"/>
  </r>
  <r>
    <n v="148"/>
    <d v="2011-01-07T00:00:00"/>
    <n v="1"/>
    <n v="0"/>
    <n v="1"/>
    <x v="10"/>
    <x v="0"/>
    <x v="6"/>
    <n v="1"/>
    <n v="0.22"/>
    <n v="0.19700000000000001"/>
    <n v="0.37"/>
    <n v="0.32840000000000003"/>
    <n v="16"/>
    <n v="47"/>
    <n v="63"/>
    <x v="6"/>
    <x v="0"/>
    <x v="0"/>
    <x v="1"/>
    <x v="1"/>
    <x v="0"/>
    <s v="Normal"/>
  </r>
  <r>
    <n v="149"/>
    <d v="2011-01-07T00:00:00"/>
    <n v="1"/>
    <n v="0"/>
    <n v="1"/>
    <x v="11"/>
    <x v="0"/>
    <x v="6"/>
    <n v="2"/>
    <n v="0.2"/>
    <n v="0.19700000000000001"/>
    <n v="0.4"/>
    <n v="0.22389999999999999"/>
    <n v="19"/>
    <n v="48"/>
    <n v="67"/>
    <x v="6"/>
    <x v="1"/>
    <x v="0"/>
    <x v="1"/>
    <x v="1"/>
    <x v="0"/>
    <s v="Normal"/>
  </r>
  <r>
    <n v="150"/>
    <d v="2011-01-07T00:00:00"/>
    <n v="1"/>
    <n v="0"/>
    <n v="1"/>
    <x v="12"/>
    <x v="0"/>
    <x v="6"/>
    <n v="2"/>
    <n v="0.2"/>
    <n v="0.19700000000000001"/>
    <n v="0.37"/>
    <n v="0.25369999999999998"/>
    <n v="9"/>
    <n v="50"/>
    <n v="59"/>
    <x v="6"/>
    <x v="1"/>
    <x v="0"/>
    <x v="1"/>
    <x v="2"/>
    <x v="0"/>
    <s v="Normal"/>
  </r>
  <r>
    <n v="151"/>
    <d v="2011-01-07T00:00:00"/>
    <n v="1"/>
    <n v="0"/>
    <n v="1"/>
    <x v="13"/>
    <x v="0"/>
    <x v="6"/>
    <n v="2"/>
    <n v="0.2"/>
    <n v="0.18179999999999999"/>
    <n v="0.37"/>
    <n v="0.28360000000000002"/>
    <n v="9"/>
    <n v="64"/>
    <n v="73"/>
    <x v="6"/>
    <x v="1"/>
    <x v="0"/>
    <x v="1"/>
    <x v="2"/>
    <x v="0"/>
    <s v="Normal"/>
  </r>
  <r>
    <n v="152"/>
    <d v="2011-01-07T00:00:00"/>
    <n v="1"/>
    <n v="0"/>
    <n v="1"/>
    <x v="14"/>
    <x v="0"/>
    <x v="6"/>
    <n v="2"/>
    <n v="0.2"/>
    <n v="0.19700000000000001"/>
    <n v="0.4"/>
    <n v="0.25369999999999998"/>
    <n v="7"/>
    <n v="43"/>
    <n v="50"/>
    <x v="6"/>
    <x v="1"/>
    <x v="0"/>
    <x v="0"/>
    <x v="2"/>
    <x v="0"/>
    <s v="Normal"/>
  </r>
  <r>
    <n v="153"/>
    <d v="2011-01-07T00:00:00"/>
    <n v="1"/>
    <n v="0"/>
    <n v="1"/>
    <x v="15"/>
    <x v="0"/>
    <x v="6"/>
    <n v="2"/>
    <n v="0.2"/>
    <n v="0.21210000000000001"/>
    <n v="0.37"/>
    <n v="0.16420000000000001"/>
    <n v="9"/>
    <n v="63"/>
    <n v="72"/>
    <x v="6"/>
    <x v="1"/>
    <x v="0"/>
    <x v="1"/>
    <x v="2"/>
    <x v="0"/>
    <s v="Normal"/>
  </r>
  <r>
    <n v="154"/>
    <d v="2011-01-07T00:00:00"/>
    <n v="1"/>
    <n v="0"/>
    <n v="1"/>
    <x v="16"/>
    <x v="0"/>
    <x v="6"/>
    <n v="2"/>
    <n v="0.2"/>
    <n v="0.21210000000000001"/>
    <n v="0.37"/>
    <n v="0.16420000000000001"/>
    <n v="5"/>
    <n v="82"/>
    <n v="87"/>
    <x v="6"/>
    <x v="1"/>
    <x v="0"/>
    <x v="1"/>
    <x v="2"/>
    <x v="0"/>
    <s v="Normal"/>
  </r>
  <r>
    <n v="155"/>
    <d v="2011-01-07T00:00:00"/>
    <n v="1"/>
    <n v="0"/>
    <n v="1"/>
    <x v="17"/>
    <x v="0"/>
    <x v="6"/>
    <n v="2"/>
    <n v="0.2"/>
    <n v="0.2576"/>
    <n v="0.37"/>
    <n v="0"/>
    <n v="9"/>
    <n v="178"/>
    <n v="187"/>
    <x v="6"/>
    <x v="1"/>
    <x v="1"/>
    <x v="2"/>
    <x v="2"/>
    <x v="0"/>
    <s v="⬆ Spike"/>
  </r>
  <r>
    <n v="156"/>
    <d v="2011-01-07T00:00:00"/>
    <n v="1"/>
    <n v="0"/>
    <n v="1"/>
    <x v="18"/>
    <x v="0"/>
    <x v="6"/>
    <n v="1"/>
    <n v="0.2"/>
    <n v="0.2273"/>
    <n v="0.4"/>
    <n v="8.9599999999999999E-2"/>
    <n v="7"/>
    <n v="116"/>
    <n v="123"/>
    <x v="6"/>
    <x v="0"/>
    <x v="1"/>
    <x v="1"/>
    <x v="3"/>
    <x v="0"/>
    <s v="Normal"/>
  </r>
  <r>
    <n v="157"/>
    <d v="2011-01-07T00:00:00"/>
    <n v="1"/>
    <n v="0"/>
    <n v="1"/>
    <x v="19"/>
    <x v="0"/>
    <x v="6"/>
    <n v="1"/>
    <n v="0.16"/>
    <n v="0.19700000000000001"/>
    <n v="0.55000000000000004"/>
    <n v="8.9599999999999999E-2"/>
    <n v="3"/>
    <n v="92"/>
    <n v="95"/>
    <x v="6"/>
    <x v="0"/>
    <x v="1"/>
    <x v="1"/>
    <x v="3"/>
    <x v="3"/>
    <s v="Normal"/>
  </r>
  <r>
    <n v="158"/>
    <d v="2011-01-07T00:00:00"/>
    <n v="1"/>
    <n v="0"/>
    <n v="1"/>
    <x v="20"/>
    <x v="0"/>
    <x v="6"/>
    <n v="1"/>
    <n v="0.18"/>
    <n v="0.21210000000000001"/>
    <n v="0.47"/>
    <n v="0.1045"/>
    <n v="1"/>
    <n v="50"/>
    <n v="51"/>
    <x v="6"/>
    <x v="0"/>
    <x v="0"/>
    <x v="1"/>
    <x v="3"/>
    <x v="3"/>
    <s v="Normal"/>
  </r>
  <r>
    <n v="159"/>
    <d v="2011-01-07T00:00:00"/>
    <n v="1"/>
    <n v="0"/>
    <n v="1"/>
    <x v="21"/>
    <x v="0"/>
    <x v="6"/>
    <n v="1"/>
    <n v="0.18"/>
    <n v="0.19700000000000001"/>
    <n v="0.47"/>
    <n v="0.1343"/>
    <n v="0"/>
    <n v="39"/>
    <n v="39"/>
    <x v="6"/>
    <x v="0"/>
    <x v="0"/>
    <x v="0"/>
    <x v="3"/>
    <x v="3"/>
    <s v="Normal"/>
  </r>
  <r>
    <n v="160"/>
    <d v="2011-01-07T00:00:00"/>
    <n v="1"/>
    <n v="0"/>
    <n v="1"/>
    <x v="22"/>
    <x v="0"/>
    <x v="6"/>
    <n v="2"/>
    <n v="0.18"/>
    <n v="0.19700000000000001"/>
    <n v="0.43"/>
    <n v="0.16420000000000001"/>
    <n v="2"/>
    <n v="34"/>
    <n v="36"/>
    <x v="6"/>
    <x v="1"/>
    <x v="0"/>
    <x v="0"/>
    <x v="3"/>
    <x v="3"/>
    <s v="Normal"/>
  </r>
  <r>
    <n v="161"/>
    <d v="2011-01-07T00:00:00"/>
    <n v="1"/>
    <n v="0"/>
    <n v="1"/>
    <x v="23"/>
    <x v="0"/>
    <x v="6"/>
    <n v="2"/>
    <n v="0.18"/>
    <n v="0.19700000000000001"/>
    <n v="0.51"/>
    <n v="0.16420000000000001"/>
    <n v="1"/>
    <n v="14"/>
    <n v="15"/>
    <x v="6"/>
    <x v="1"/>
    <x v="0"/>
    <x v="0"/>
    <x v="3"/>
    <x v="3"/>
    <s v="Normal"/>
  </r>
  <r>
    <n v="162"/>
    <d v="2011-01-08T00:00:00"/>
    <n v="1"/>
    <n v="0"/>
    <n v="1"/>
    <x v="0"/>
    <x v="0"/>
    <x v="0"/>
    <n v="2"/>
    <n v="0.18"/>
    <n v="0.19700000000000001"/>
    <n v="0.51"/>
    <n v="0.16420000000000001"/>
    <n v="1"/>
    <n v="24"/>
    <n v="25"/>
    <x v="0"/>
    <x v="1"/>
    <x v="0"/>
    <x v="0"/>
    <x v="0"/>
    <x v="3"/>
    <s v="Normal"/>
  </r>
  <r>
    <n v="163"/>
    <d v="2011-01-08T00:00:00"/>
    <n v="1"/>
    <n v="0"/>
    <n v="1"/>
    <x v="1"/>
    <x v="0"/>
    <x v="0"/>
    <n v="2"/>
    <n v="0.18"/>
    <n v="0.21210000000000001"/>
    <n v="0.55000000000000004"/>
    <n v="8.9599999999999999E-2"/>
    <n v="1"/>
    <n v="15"/>
    <n v="16"/>
    <x v="0"/>
    <x v="1"/>
    <x v="0"/>
    <x v="0"/>
    <x v="0"/>
    <x v="3"/>
    <s v="Normal"/>
  </r>
  <r>
    <n v="164"/>
    <d v="2011-01-08T00:00:00"/>
    <n v="1"/>
    <n v="0"/>
    <n v="1"/>
    <x v="2"/>
    <x v="0"/>
    <x v="0"/>
    <n v="2"/>
    <n v="0.18"/>
    <n v="0.2424"/>
    <n v="0.55000000000000004"/>
    <n v="0"/>
    <n v="3"/>
    <n v="13"/>
    <n v="16"/>
    <x v="0"/>
    <x v="1"/>
    <x v="0"/>
    <x v="0"/>
    <x v="0"/>
    <x v="3"/>
    <s v="Normal"/>
  </r>
  <r>
    <n v="165"/>
    <d v="2011-01-08T00:00:00"/>
    <n v="1"/>
    <n v="0"/>
    <n v="1"/>
    <x v="3"/>
    <x v="0"/>
    <x v="0"/>
    <n v="3"/>
    <n v="0.18"/>
    <n v="0.19700000000000001"/>
    <n v="0.55000000000000004"/>
    <n v="0.16420000000000001"/>
    <n v="0"/>
    <n v="7"/>
    <n v="7"/>
    <x v="0"/>
    <x v="2"/>
    <x v="0"/>
    <x v="0"/>
    <x v="0"/>
    <x v="3"/>
    <s v="Normal"/>
  </r>
  <r>
    <n v="166"/>
    <d v="2011-01-08T00:00:00"/>
    <n v="1"/>
    <n v="0"/>
    <n v="1"/>
    <x v="4"/>
    <x v="0"/>
    <x v="0"/>
    <n v="3"/>
    <n v="0.18"/>
    <n v="0.19700000000000001"/>
    <n v="0.55000000000000004"/>
    <n v="0.16420000000000001"/>
    <n v="0"/>
    <n v="1"/>
    <n v="1"/>
    <x v="0"/>
    <x v="2"/>
    <x v="0"/>
    <x v="0"/>
    <x v="0"/>
    <x v="3"/>
    <s v="Normal"/>
  </r>
  <r>
    <n v="167"/>
    <d v="2011-01-08T00:00:00"/>
    <n v="1"/>
    <n v="0"/>
    <n v="1"/>
    <x v="5"/>
    <x v="0"/>
    <x v="0"/>
    <n v="2"/>
    <n v="0.16"/>
    <n v="0.16669999999999999"/>
    <n v="0.74"/>
    <n v="0.16420000000000001"/>
    <n v="0"/>
    <n v="5"/>
    <n v="5"/>
    <x v="0"/>
    <x v="1"/>
    <x v="0"/>
    <x v="0"/>
    <x v="0"/>
    <x v="3"/>
    <s v="Normal"/>
  </r>
  <r>
    <n v="168"/>
    <d v="2011-01-08T00:00:00"/>
    <n v="1"/>
    <n v="0"/>
    <n v="1"/>
    <x v="6"/>
    <x v="0"/>
    <x v="0"/>
    <n v="2"/>
    <n v="0.16"/>
    <n v="0.16669999999999999"/>
    <n v="0.74"/>
    <n v="0.16420000000000001"/>
    <n v="0"/>
    <n v="2"/>
    <n v="2"/>
    <x v="0"/>
    <x v="1"/>
    <x v="0"/>
    <x v="0"/>
    <x v="1"/>
    <x v="3"/>
    <s v="Normal"/>
  </r>
  <r>
    <n v="169"/>
    <d v="2011-01-08T00:00:00"/>
    <n v="1"/>
    <n v="0"/>
    <n v="1"/>
    <x v="7"/>
    <x v="0"/>
    <x v="0"/>
    <n v="2"/>
    <n v="0.16"/>
    <n v="0.18179999999999999"/>
    <n v="0.74"/>
    <n v="0.1045"/>
    <n v="1"/>
    <n v="8"/>
    <n v="9"/>
    <x v="0"/>
    <x v="1"/>
    <x v="1"/>
    <x v="0"/>
    <x v="1"/>
    <x v="3"/>
    <s v="Normal"/>
  </r>
  <r>
    <n v="170"/>
    <d v="2011-01-08T00:00:00"/>
    <n v="1"/>
    <n v="0"/>
    <n v="1"/>
    <x v="8"/>
    <x v="0"/>
    <x v="0"/>
    <n v="3"/>
    <n v="0.16"/>
    <n v="0.18179999999999999"/>
    <n v="0.93"/>
    <n v="0.1045"/>
    <n v="0"/>
    <n v="15"/>
    <n v="15"/>
    <x v="0"/>
    <x v="2"/>
    <x v="1"/>
    <x v="0"/>
    <x v="1"/>
    <x v="3"/>
    <s v="Normal"/>
  </r>
  <r>
    <n v="171"/>
    <d v="2011-01-08T00:00:00"/>
    <n v="1"/>
    <n v="0"/>
    <n v="1"/>
    <x v="9"/>
    <x v="0"/>
    <x v="0"/>
    <n v="3"/>
    <n v="0.16"/>
    <n v="0.18179999999999999"/>
    <n v="0.93"/>
    <n v="0.1045"/>
    <n v="0"/>
    <n v="20"/>
    <n v="20"/>
    <x v="0"/>
    <x v="2"/>
    <x v="1"/>
    <x v="0"/>
    <x v="1"/>
    <x v="3"/>
    <s v="Normal"/>
  </r>
  <r>
    <n v="172"/>
    <d v="2011-01-08T00:00:00"/>
    <n v="1"/>
    <n v="0"/>
    <n v="1"/>
    <x v="10"/>
    <x v="0"/>
    <x v="0"/>
    <n v="2"/>
    <n v="0.18"/>
    <n v="0.19700000000000001"/>
    <n v="0.8"/>
    <n v="0.16420000000000001"/>
    <n v="5"/>
    <n v="56"/>
    <n v="61"/>
    <x v="0"/>
    <x v="1"/>
    <x v="0"/>
    <x v="1"/>
    <x v="1"/>
    <x v="3"/>
    <s v="Normal"/>
  </r>
  <r>
    <n v="173"/>
    <d v="2011-01-08T00:00:00"/>
    <n v="1"/>
    <n v="0"/>
    <n v="1"/>
    <x v="11"/>
    <x v="0"/>
    <x v="0"/>
    <n v="2"/>
    <n v="0.2"/>
    <n v="0.18179999999999999"/>
    <n v="0.69"/>
    <n v="0.3881"/>
    <n v="2"/>
    <n v="60"/>
    <n v="62"/>
    <x v="0"/>
    <x v="1"/>
    <x v="0"/>
    <x v="1"/>
    <x v="1"/>
    <x v="0"/>
    <s v="Normal"/>
  </r>
  <r>
    <n v="174"/>
    <d v="2011-01-08T00:00:00"/>
    <n v="1"/>
    <n v="0"/>
    <n v="1"/>
    <x v="12"/>
    <x v="0"/>
    <x v="0"/>
    <n v="2"/>
    <n v="0.2"/>
    <n v="0.18179999999999999"/>
    <n v="0.59"/>
    <n v="0.35820000000000002"/>
    <n v="8"/>
    <n v="90"/>
    <n v="98"/>
    <x v="0"/>
    <x v="1"/>
    <x v="0"/>
    <x v="1"/>
    <x v="2"/>
    <x v="0"/>
    <s v="Normal"/>
  </r>
  <r>
    <n v="175"/>
    <d v="2011-01-08T00:00:00"/>
    <n v="1"/>
    <n v="0"/>
    <n v="1"/>
    <x v="13"/>
    <x v="0"/>
    <x v="0"/>
    <n v="1"/>
    <n v="0.2"/>
    <n v="0.18179999999999999"/>
    <n v="0.44"/>
    <n v="0.32840000000000003"/>
    <n v="7"/>
    <n v="95"/>
    <n v="102"/>
    <x v="0"/>
    <x v="0"/>
    <x v="0"/>
    <x v="1"/>
    <x v="2"/>
    <x v="0"/>
    <s v="Normal"/>
  </r>
  <r>
    <n v="176"/>
    <d v="2011-01-08T00:00:00"/>
    <n v="1"/>
    <n v="0"/>
    <n v="1"/>
    <x v="14"/>
    <x v="0"/>
    <x v="0"/>
    <n v="1"/>
    <n v="0.2"/>
    <n v="0.16669999999999999"/>
    <n v="0.32"/>
    <n v="0.49249999999999999"/>
    <n v="12"/>
    <n v="83"/>
    <n v="95"/>
    <x v="0"/>
    <x v="0"/>
    <x v="0"/>
    <x v="1"/>
    <x v="2"/>
    <x v="0"/>
    <s v="Normal"/>
  </r>
  <r>
    <n v="177"/>
    <d v="2011-01-08T00:00:00"/>
    <n v="1"/>
    <n v="0"/>
    <n v="1"/>
    <x v="15"/>
    <x v="0"/>
    <x v="0"/>
    <n v="1"/>
    <n v="0.2"/>
    <n v="0.16669999999999999"/>
    <n v="0.32"/>
    <n v="0.44779999999999998"/>
    <n v="5"/>
    <n v="69"/>
    <n v="74"/>
    <x v="0"/>
    <x v="0"/>
    <x v="0"/>
    <x v="1"/>
    <x v="2"/>
    <x v="0"/>
    <s v="Normal"/>
  </r>
  <r>
    <n v="178"/>
    <d v="2011-01-08T00:00:00"/>
    <n v="1"/>
    <n v="0"/>
    <n v="1"/>
    <x v="16"/>
    <x v="0"/>
    <x v="0"/>
    <n v="1"/>
    <n v="0.18"/>
    <n v="0.13639999999999999"/>
    <n v="0.28999999999999998"/>
    <n v="0.44779999999999998"/>
    <n v="8"/>
    <n v="68"/>
    <n v="76"/>
    <x v="0"/>
    <x v="0"/>
    <x v="0"/>
    <x v="1"/>
    <x v="2"/>
    <x v="3"/>
    <s v="Normal"/>
  </r>
  <r>
    <n v="179"/>
    <d v="2011-01-08T00:00:00"/>
    <n v="1"/>
    <n v="0"/>
    <n v="1"/>
    <x v="17"/>
    <x v="0"/>
    <x v="0"/>
    <n v="1"/>
    <n v="0.16"/>
    <n v="0.1212"/>
    <n v="0.37"/>
    <n v="0.55220000000000002"/>
    <n v="5"/>
    <n v="64"/>
    <n v="69"/>
    <x v="0"/>
    <x v="0"/>
    <x v="1"/>
    <x v="1"/>
    <x v="2"/>
    <x v="3"/>
    <s v="Normal"/>
  </r>
  <r>
    <n v="180"/>
    <d v="2011-01-08T00:00:00"/>
    <n v="1"/>
    <n v="0"/>
    <n v="1"/>
    <x v="18"/>
    <x v="0"/>
    <x v="0"/>
    <n v="1"/>
    <n v="0.14000000000000001"/>
    <n v="0.1212"/>
    <n v="0.39"/>
    <n v="0.29849999999999999"/>
    <n v="3"/>
    <n v="52"/>
    <n v="55"/>
    <x v="0"/>
    <x v="0"/>
    <x v="1"/>
    <x v="1"/>
    <x v="3"/>
    <x v="3"/>
    <s v="Normal"/>
  </r>
  <r>
    <n v="181"/>
    <d v="2011-01-08T00:00:00"/>
    <n v="1"/>
    <n v="0"/>
    <n v="1"/>
    <x v="19"/>
    <x v="0"/>
    <x v="0"/>
    <n v="1"/>
    <n v="0.14000000000000001"/>
    <n v="0.1212"/>
    <n v="0.36"/>
    <n v="0.25369999999999998"/>
    <n v="4"/>
    <n v="26"/>
    <n v="30"/>
    <x v="0"/>
    <x v="0"/>
    <x v="1"/>
    <x v="0"/>
    <x v="3"/>
    <x v="3"/>
    <s v="Normal"/>
  </r>
  <r>
    <n v="182"/>
    <d v="2011-01-08T00:00:00"/>
    <n v="1"/>
    <n v="0"/>
    <n v="1"/>
    <x v="20"/>
    <x v="0"/>
    <x v="0"/>
    <n v="1"/>
    <n v="0.12"/>
    <n v="0.1212"/>
    <n v="0.36"/>
    <n v="0.25369999999999998"/>
    <n v="0"/>
    <n v="28"/>
    <n v="28"/>
    <x v="0"/>
    <x v="0"/>
    <x v="0"/>
    <x v="0"/>
    <x v="3"/>
    <x v="3"/>
    <s v="Normal"/>
  </r>
  <r>
    <n v="183"/>
    <d v="2011-01-08T00:00:00"/>
    <n v="1"/>
    <n v="0"/>
    <n v="1"/>
    <x v="21"/>
    <x v="0"/>
    <x v="0"/>
    <n v="1"/>
    <n v="0.12"/>
    <n v="0.1061"/>
    <n v="0.39"/>
    <n v="0.35820000000000002"/>
    <n v="2"/>
    <n v="35"/>
    <n v="37"/>
    <x v="0"/>
    <x v="0"/>
    <x v="0"/>
    <x v="0"/>
    <x v="3"/>
    <x v="3"/>
    <s v="Normal"/>
  </r>
  <r>
    <n v="184"/>
    <d v="2011-01-08T00:00:00"/>
    <n v="1"/>
    <n v="0"/>
    <n v="1"/>
    <x v="22"/>
    <x v="0"/>
    <x v="0"/>
    <n v="1"/>
    <n v="0.12"/>
    <n v="0.1061"/>
    <n v="0.36"/>
    <n v="0.3881"/>
    <n v="1"/>
    <n v="33"/>
    <n v="34"/>
    <x v="0"/>
    <x v="0"/>
    <x v="0"/>
    <x v="0"/>
    <x v="3"/>
    <x v="3"/>
    <s v="Normal"/>
  </r>
  <r>
    <n v="185"/>
    <d v="2011-01-08T00:00:00"/>
    <n v="1"/>
    <n v="0"/>
    <n v="1"/>
    <x v="23"/>
    <x v="0"/>
    <x v="0"/>
    <n v="1"/>
    <n v="0.1"/>
    <n v="6.0600000000000001E-2"/>
    <n v="0.39"/>
    <n v="0.44779999999999998"/>
    <n v="0"/>
    <n v="22"/>
    <n v="22"/>
    <x v="0"/>
    <x v="0"/>
    <x v="0"/>
    <x v="0"/>
    <x v="3"/>
    <x v="3"/>
    <s v="Normal"/>
  </r>
  <r>
    <n v="186"/>
    <d v="2011-01-09T00:00:00"/>
    <n v="1"/>
    <n v="0"/>
    <n v="1"/>
    <x v="0"/>
    <x v="0"/>
    <x v="1"/>
    <n v="1"/>
    <n v="0.1"/>
    <n v="7.5800000000000006E-2"/>
    <n v="0.42"/>
    <n v="0.3881"/>
    <n v="1"/>
    <n v="24"/>
    <n v="25"/>
    <x v="1"/>
    <x v="0"/>
    <x v="0"/>
    <x v="0"/>
    <x v="0"/>
    <x v="3"/>
    <s v="Normal"/>
  </r>
  <r>
    <n v="187"/>
    <d v="2011-01-09T00:00:00"/>
    <n v="1"/>
    <n v="0"/>
    <n v="1"/>
    <x v="1"/>
    <x v="0"/>
    <x v="1"/>
    <n v="1"/>
    <n v="0.1"/>
    <n v="6.0600000000000001E-2"/>
    <n v="0.42"/>
    <n v="0.4627"/>
    <n v="0"/>
    <n v="12"/>
    <n v="12"/>
    <x v="1"/>
    <x v="0"/>
    <x v="0"/>
    <x v="0"/>
    <x v="0"/>
    <x v="3"/>
    <s v="Normal"/>
  </r>
  <r>
    <n v="188"/>
    <d v="2011-01-09T00:00:00"/>
    <n v="1"/>
    <n v="0"/>
    <n v="1"/>
    <x v="2"/>
    <x v="0"/>
    <x v="1"/>
    <n v="1"/>
    <n v="0.1"/>
    <n v="6.0600000000000001E-2"/>
    <n v="0.46"/>
    <n v="0.4627"/>
    <n v="0"/>
    <n v="11"/>
    <n v="11"/>
    <x v="1"/>
    <x v="0"/>
    <x v="0"/>
    <x v="0"/>
    <x v="0"/>
    <x v="3"/>
    <s v="Normal"/>
  </r>
  <r>
    <n v="189"/>
    <d v="2011-01-09T00:00:00"/>
    <n v="1"/>
    <n v="0"/>
    <n v="1"/>
    <x v="3"/>
    <x v="0"/>
    <x v="1"/>
    <n v="1"/>
    <n v="0.1"/>
    <n v="7.5800000000000006E-2"/>
    <n v="0.46"/>
    <n v="0.41789999999999999"/>
    <n v="0"/>
    <n v="4"/>
    <n v="4"/>
    <x v="1"/>
    <x v="0"/>
    <x v="0"/>
    <x v="0"/>
    <x v="0"/>
    <x v="3"/>
    <s v="Normal"/>
  </r>
  <r>
    <n v="190"/>
    <d v="2011-01-09T00:00:00"/>
    <n v="1"/>
    <n v="0"/>
    <n v="1"/>
    <x v="4"/>
    <x v="0"/>
    <x v="1"/>
    <n v="1"/>
    <n v="0.08"/>
    <n v="9.0899999999999995E-2"/>
    <n v="0.53"/>
    <n v="0.19400000000000001"/>
    <n v="0"/>
    <n v="1"/>
    <n v="1"/>
    <x v="1"/>
    <x v="0"/>
    <x v="0"/>
    <x v="0"/>
    <x v="0"/>
    <x v="4"/>
    <s v="Normal"/>
  </r>
  <r>
    <n v="191"/>
    <d v="2011-01-09T00:00:00"/>
    <n v="1"/>
    <n v="0"/>
    <n v="1"/>
    <x v="5"/>
    <x v="0"/>
    <x v="1"/>
    <n v="1"/>
    <n v="0.08"/>
    <n v="9.0899999999999995E-2"/>
    <n v="0.53"/>
    <n v="0.19400000000000001"/>
    <n v="0"/>
    <n v="1"/>
    <n v="1"/>
    <x v="1"/>
    <x v="0"/>
    <x v="0"/>
    <x v="0"/>
    <x v="0"/>
    <x v="4"/>
    <s v="Normal"/>
  </r>
  <r>
    <n v="192"/>
    <d v="2011-01-09T00:00:00"/>
    <n v="1"/>
    <n v="0"/>
    <n v="1"/>
    <x v="6"/>
    <x v="0"/>
    <x v="1"/>
    <n v="1"/>
    <n v="0.1"/>
    <n v="9.0899999999999995E-2"/>
    <n v="0.49"/>
    <n v="0.28360000000000002"/>
    <n v="0"/>
    <n v="1"/>
    <n v="1"/>
    <x v="1"/>
    <x v="0"/>
    <x v="0"/>
    <x v="0"/>
    <x v="1"/>
    <x v="3"/>
    <s v="Normal"/>
  </r>
  <r>
    <n v="193"/>
    <d v="2011-01-09T00:00:00"/>
    <n v="1"/>
    <n v="0"/>
    <n v="1"/>
    <x v="7"/>
    <x v="0"/>
    <x v="1"/>
    <n v="1"/>
    <n v="0.08"/>
    <n v="9.0899999999999995E-2"/>
    <n v="0.53"/>
    <n v="0.19400000000000001"/>
    <n v="1"/>
    <n v="5"/>
    <n v="6"/>
    <x v="1"/>
    <x v="0"/>
    <x v="1"/>
    <x v="0"/>
    <x v="1"/>
    <x v="4"/>
    <s v="Normal"/>
  </r>
  <r>
    <n v="194"/>
    <d v="2011-01-09T00:00:00"/>
    <n v="1"/>
    <n v="0"/>
    <n v="1"/>
    <x v="8"/>
    <x v="0"/>
    <x v="1"/>
    <n v="1"/>
    <n v="0.1"/>
    <n v="9.0899999999999995E-2"/>
    <n v="0.49"/>
    <n v="0.28360000000000002"/>
    <n v="0"/>
    <n v="10"/>
    <n v="10"/>
    <x v="1"/>
    <x v="0"/>
    <x v="1"/>
    <x v="0"/>
    <x v="1"/>
    <x v="3"/>
    <s v="Normal"/>
  </r>
  <r>
    <n v="195"/>
    <d v="2011-01-09T00:00:00"/>
    <n v="1"/>
    <n v="0"/>
    <n v="1"/>
    <x v="9"/>
    <x v="0"/>
    <x v="1"/>
    <n v="1"/>
    <n v="0.12"/>
    <n v="7.5800000000000006E-2"/>
    <n v="0.46"/>
    <n v="0.52239999999999998"/>
    <n v="0"/>
    <n v="19"/>
    <n v="19"/>
    <x v="1"/>
    <x v="0"/>
    <x v="1"/>
    <x v="0"/>
    <x v="1"/>
    <x v="3"/>
    <s v="Normal"/>
  </r>
  <r>
    <n v="196"/>
    <d v="2011-01-09T00:00:00"/>
    <n v="1"/>
    <n v="0"/>
    <n v="1"/>
    <x v="10"/>
    <x v="0"/>
    <x v="1"/>
    <n v="1"/>
    <n v="0.14000000000000001"/>
    <n v="0.1061"/>
    <n v="0.43"/>
    <n v="0.3881"/>
    <n v="0"/>
    <n v="49"/>
    <n v="49"/>
    <x v="1"/>
    <x v="0"/>
    <x v="0"/>
    <x v="0"/>
    <x v="1"/>
    <x v="3"/>
    <s v="Normal"/>
  </r>
  <r>
    <n v="197"/>
    <d v="2011-01-09T00:00:00"/>
    <n v="1"/>
    <n v="0"/>
    <n v="1"/>
    <x v="11"/>
    <x v="0"/>
    <x v="1"/>
    <n v="1"/>
    <n v="0.16"/>
    <n v="0.1212"/>
    <n v="0.4"/>
    <n v="0.52239999999999998"/>
    <n v="2"/>
    <n v="47"/>
    <n v="49"/>
    <x v="1"/>
    <x v="0"/>
    <x v="0"/>
    <x v="0"/>
    <x v="1"/>
    <x v="3"/>
    <s v="Normal"/>
  </r>
  <r>
    <n v="198"/>
    <d v="2011-01-09T00:00:00"/>
    <n v="1"/>
    <n v="0"/>
    <n v="1"/>
    <x v="12"/>
    <x v="0"/>
    <x v="1"/>
    <n v="1"/>
    <n v="0.18"/>
    <n v="0.13639999999999999"/>
    <n v="0.37"/>
    <n v="0.44779999999999998"/>
    <n v="4"/>
    <n v="79"/>
    <n v="83"/>
    <x v="1"/>
    <x v="0"/>
    <x v="0"/>
    <x v="1"/>
    <x v="2"/>
    <x v="3"/>
    <s v="Normal"/>
  </r>
  <r>
    <n v="199"/>
    <d v="2011-01-09T00:00:00"/>
    <n v="1"/>
    <n v="0"/>
    <n v="1"/>
    <x v="13"/>
    <x v="0"/>
    <x v="1"/>
    <n v="1"/>
    <n v="0.2"/>
    <n v="0.16669999999999999"/>
    <n v="0.34"/>
    <n v="0.44779999999999998"/>
    <n v="6"/>
    <n v="69"/>
    <n v="75"/>
    <x v="1"/>
    <x v="0"/>
    <x v="0"/>
    <x v="1"/>
    <x v="2"/>
    <x v="0"/>
    <s v="Normal"/>
  </r>
  <r>
    <n v="200"/>
    <d v="2011-01-09T00:00:00"/>
    <n v="1"/>
    <n v="0"/>
    <n v="1"/>
    <x v="14"/>
    <x v="0"/>
    <x v="1"/>
    <n v="1"/>
    <n v="0.22"/>
    <n v="0.18179999999999999"/>
    <n v="0.32"/>
    <n v="0.4627"/>
    <n v="8"/>
    <n v="64"/>
    <n v="72"/>
    <x v="1"/>
    <x v="0"/>
    <x v="0"/>
    <x v="1"/>
    <x v="2"/>
    <x v="0"/>
    <s v="Normal"/>
  </r>
  <r>
    <n v="201"/>
    <d v="2011-01-09T00:00:00"/>
    <n v="1"/>
    <n v="0"/>
    <n v="1"/>
    <x v="15"/>
    <x v="0"/>
    <x v="1"/>
    <n v="1"/>
    <n v="0.22"/>
    <n v="0.19700000000000001"/>
    <n v="0.35"/>
    <n v="0.35820000000000002"/>
    <n v="5"/>
    <n v="77"/>
    <n v="82"/>
    <x v="1"/>
    <x v="0"/>
    <x v="0"/>
    <x v="1"/>
    <x v="2"/>
    <x v="0"/>
    <s v="Normal"/>
  </r>
  <r>
    <n v="202"/>
    <d v="2011-01-09T00:00:00"/>
    <n v="1"/>
    <n v="0"/>
    <n v="1"/>
    <x v="16"/>
    <x v="0"/>
    <x v="1"/>
    <n v="1"/>
    <n v="0.2"/>
    <n v="0.16669999999999999"/>
    <n v="0.34"/>
    <n v="0.44779999999999998"/>
    <n v="13"/>
    <n v="79"/>
    <n v="92"/>
    <x v="1"/>
    <x v="0"/>
    <x v="0"/>
    <x v="1"/>
    <x v="2"/>
    <x v="0"/>
    <s v="Normal"/>
  </r>
  <r>
    <n v="203"/>
    <d v="2011-01-09T00:00:00"/>
    <n v="1"/>
    <n v="0"/>
    <n v="1"/>
    <x v="17"/>
    <x v="0"/>
    <x v="1"/>
    <n v="1"/>
    <n v="0.18"/>
    <n v="0.1515"/>
    <n v="0.37"/>
    <n v="0.3881"/>
    <n v="3"/>
    <n v="59"/>
    <n v="62"/>
    <x v="1"/>
    <x v="0"/>
    <x v="1"/>
    <x v="1"/>
    <x v="2"/>
    <x v="3"/>
    <s v="Normal"/>
  </r>
  <r>
    <n v="204"/>
    <d v="2011-01-09T00:00:00"/>
    <n v="1"/>
    <n v="0"/>
    <n v="1"/>
    <x v="18"/>
    <x v="0"/>
    <x v="1"/>
    <n v="1"/>
    <n v="0.16"/>
    <n v="0.13639999999999999"/>
    <n v="0.4"/>
    <n v="0.32840000000000003"/>
    <n v="4"/>
    <n v="44"/>
    <n v="48"/>
    <x v="1"/>
    <x v="0"/>
    <x v="1"/>
    <x v="0"/>
    <x v="3"/>
    <x v="3"/>
    <s v="Normal"/>
  </r>
  <r>
    <n v="205"/>
    <d v="2011-01-09T00:00:00"/>
    <n v="1"/>
    <n v="0"/>
    <n v="1"/>
    <x v="19"/>
    <x v="0"/>
    <x v="1"/>
    <n v="1"/>
    <n v="0.16"/>
    <n v="0.13639999999999999"/>
    <n v="0.43"/>
    <n v="0.32840000000000003"/>
    <n v="1"/>
    <n v="40"/>
    <n v="41"/>
    <x v="1"/>
    <x v="0"/>
    <x v="1"/>
    <x v="0"/>
    <x v="3"/>
    <x v="3"/>
    <s v="Normal"/>
  </r>
  <r>
    <n v="206"/>
    <d v="2011-01-09T00:00:00"/>
    <n v="1"/>
    <n v="0"/>
    <n v="1"/>
    <x v="20"/>
    <x v="0"/>
    <x v="1"/>
    <n v="1"/>
    <n v="0.14000000000000001"/>
    <n v="0.1212"/>
    <n v="0.46"/>
    <n v="0.25369999999999998"/>
    <n v="0"/>
    <n v="38"/>
    <n v="38"/>
    <x v="1"/>
    <x v="0"/>
    <x v="0"/>
    <x v="0"/>
    <x v="3"/>
    <x v="3"/>
    <s v="Normal"/>
  </r>
  <r>
    <n v="207"/>
    <d v="2011-01-09T00:00:00"/>
    <n v="1"/>
    <n v="0"/>
    <n v="1"/>
    <x v="21"/>
    <x v="0"/>
    <x v="1"/>
    <n v="1"/>
    <n v="0.14000000000000001"/>
    <n v="0.1061"/>
    <n v="0.46"/>
    <n v="0.41789999999999999"/>
    <n v="1"/>
    <n v="19"/>
    <n v="20"/>
    <x v="1"/>
    <x v="0"/>
    <x v="0"/>
    <x v="0"/>
    <x v="3"/>
    <x v="3"/>
    <s v="Normal"/>
  </r>
  <r>
    <n v="208"/>
    <d v="2011-01-09T00:00:00"/>
    <n v="1"/>
    <n v="0"/>
    <n v="1"/>
    <x v="22"/>
    <x v="0"/>
    <x v="1"/>
    <n v="1"/>
    <n v="0.14000000000000001"/>
    <n v="0.1212"/>
    <n v="0.46"/>
    <n v="0.29849999999999999"/>
    <n v="5"/>
    <n v="10"/>
    <n v="15"/>
    <x v="1"/>
    <x v="0"/>
    <x v="0"/>
    <x v="0"/>
    <x v="3"/>
    <x v="3"/>
    <s v="Normal"/>
  </r>
  <r>
    <n v="209"/>
    <d v="2011-01-09T00:00:00"/>
    <n v="1"/>
    <n v="0"/>
    <n v="1"/>
    <x v="23"/>
    <x v="0"/>
    <x v="1"/>
    <n v="1"/>
    <n v="0.12"/>
    <n v="0.13639999999999999"/>
    <n v="0.5"/>
    <n v="0.19400000000000001"/>
    <n v="0"/>
    <n v="6"/>
    <n v="6"/>
    <x v="1"/>
    <x v="0"/>
    <x v="0"/>
    <x v="0"/>
    <x v="3"/>
    <x v="3"/>
    <s v="Normal"/>
  </r>
  <r>
    <n v="210"/>
    <d v="2011-01-10T00:00:00"/>
    <n v="1"/>
    <n v="0"/>
    <n v="1"/>
    <x v="0"/>
    <x v="0"/>
    <x v="2"/>
    <n v="1"/>
    <n v="0.12"/>
    <n v="0.1212"/>
    <n v="0.5"/>
    <n v="0.28360000000000002"/>
    <n v="2"/>
    <n v="3"/>
    <n v="5"/>
    <x v="2"/>
    <x v="0"/>
    <x v="0"/>
    <x v="0"/>
    <x v="0"/>
    <x v="3"/>
    <s v="Normal"/>
  </r>
  <r>
    <n v="211"/>
    <d v="2011-01-10T00:00:00"/>
    <n v="1"/>
    <n v="0"/>
    <n v="1"/>
    <x v="1"/>
    <x v="0"/>
    <x v="2"/>
    <n v="1"/>
    <n v="0.12"/>
    <n v="0.1212"/>
    <n v="0.5"/>
    <n v="0.28360000000000002"/>
    <n v="1"/>
    <n v="0"/>
    <n v="1"/>
    <x v="2"/>
    <x v="0"/>
    <x v="0"/>
    <x v="0"/>
    <x v="0"/>
    <x v="3"/>
    <s v="Normal"/>
  </r>
  <r>
    <n v="212"/>
    <d v="2011-01-10T00:00:00"/>
    <n v="1"/>
    <n v="0"/>
    <n v="1"/>
    <x v="2"/>
    <x v="0"/>
    <x v="2"/>
    <n v="1"/>
    <n v="0.12"/>
    <n v="0.1212"/>
    <n v="0.5"/>
    <n v="0.22389999999999999"/>
    <n v="0"/>
    <n v="3"/>
    <n v="3"/>
    <x v="2"/>
    <x v="0"/>
    <x v="0"/>
    <x v="0"/>
    <x v="0"/>
    <x v="3"/>
    <s v="Normal"/>
  </r>
  <r>
    <n v="213"/>
    <d v="2011-01-10T00:00:00"/>
    <n v="1"/>
    <n v="0"/>
    <n v="1"/>
    <x v="3"/>
    <x v="0"/>
    <x v="2"/>
    <n v="1"/>
    <n v="0.12"/>
    <n v="0.1212"/>
    <n v="0.5"/>
    <n v="0.22389999999999999"/>
    <n v="0"/>
    <n v="1"/>
    <n v="1"/>
    <x v="2"/>
    <x v="0"/>
    <x v="0"/>
    <x v="0"/>
    <x v="0"/>
    <x v="3"/>
    <s v="Normal"/>
  </r>
  <r>
    <n v="214"/>
    <d v="2011-01-10T00:00:00"/>
    <n v="1"/>
    <n v="0"/>
    <n v="1"/>
    <x v="4"/>
    <x v="0"/>
    <x v="2"/>
    <n v="1"/>
    <n v="0.1"/>
    <n v="0.1212"/>
    <n v="0.54"/>
    <n v="0.1343"/>
    <n v="1"/>
    <n v="2"/>
    <n v="3"/>
    <x v="2"/>
    <x v="0"/>
    <x v="0"/>
    <x v="0"/>
    <x v="0"/>
    <x v="3"/>
    <s v="Normal"/>
  </r>
  <r>
    <n v="215"/>
    <d v="2011-01-10T00:00:00"/>
    <n v="1"/>
    <n v="0"/>
    <n v="1"/>
    <x v="5"/>
    <x v="0"/>
    <x v="2"/>
    <n v="1"/>
    <n v="0.1"/>
    <n v="0.1061"/>
    <n v="0.54"/>
    <n v="0.25369999999999998"/>
    <n v="0"/>
    <n v="3"/>
    <n v="3"/>
    <x v="2"/>
    <x v="0"/>
    <x v="0"/>
    <x v="0"/>
    <x v="0"/>
    <x v="3"/>
    <s v="Normal"/>
  </r>
  <r>
    <n v="216"/>
    <d v="2011-01-10T00:00:00"/>
    <n v="1"/>
    <n v="0"/>
    <n v="1"/>
    <x v="6"/>
    <x v="0"/>
    <x v="2"/>
    <n v="1"/>
    <n v="0.12"/>
    <n v="0.1212"/>
    <n v="0.5"/>
    <n v="0.28360000000000002"/>
    <n v="0"/>
    <n v="31"/>
    <n v="31"/>
    <x v="2"/>
    <x v="0"/>
    <x v="0"/>
    <x v="0"/>
    <x v="1"/>
    <x v="3"/>
    <s v="Normal"/>
  </r>
  <r>
    <n v="217"/>
    <d v="2011-01-10T00:00:00"/>
    <n v="1"/>
    <n v="0"/>
    <n v="1"/>
    <x v="7"/>
    <x v="0"/>
    <x v="2"/>
    <n v="1"/>
    <n v="0.12"/>
    <n v="0.1212"/>
    <n v="0.5"/>
    <n v="0.22389999999999999"/>
    <n v="2"/>
    <n v="75"/>
    <n v="77"/>
    <x v="2"/>
    <x v="0"/>
    <x v="1"/>
    <x v="1"/>
    <x v="1"/>
    <x v="3"/>
    <s v="Normal"/>
  </r>
  <r>
    <n v="218"/>
    <d v="2011-01-10T00:00:00"/>
    <n v="1"/>
    <n v="0"/>
    <n v="1"/>
    <x v="8"/>
    <x v="0"/>
    <x v="2"/>
    <n v="2"/>
    <n v="0.12"/>
    <n v="0.1212"/>
    <n v="0.5"/>
    <n v="0.28360000000000002"/>
    <n v="4"/>
    <n v="184"/>
    <n v="188"/>
    <x v="2"/>
    <x v="1"/>
    <x v="1"/>
    <x v="2"/>
    <x v="1"/>
    <x v="3"/>
    <s v="⬆ Spike"/>
  </r>
  <r>
    <n v="219"/>
    <d v="2011-01-10T00:00:00"/>
    <n v="1"/>
    <n v="0"/>
    <n v="1"/>
    <x v="9"/>
    <x v="0"/>
    <x v="2"/>
    <n v="2"/>
    <n v="0.14000000000000001"/>
    <n v="0.1212"/>
    <n v="0.5"/>
    <n v="0.25369999999999998"/>
    <n v="2"/>
    <n v="92"/>
    <n v="94"/>
    <x v="2"/>
    <x v="1"/>
    <x v="1"/>
    <x v="1"/>
    <x v="1"/>
    <x v="3"/>
    <s v="Normal"/>
  </r>
  <r>
    <n v="220"/>
    <d v="2011-01-10T00:00:00"/>
    <n v="1"/>
    <n v="0"/>
    <n v="1"/>
    <x v="10"/>
    <x v="0"/>
    <x v="2"/>
    <n v="2"/>
    <n v="0.14000000000000001"/>
    <n v="0.1212"/>
    <n v="0.5"/>
    <n v="0.29849999999999999"/>
    <n v="0"/>
    <n v="31"/>
    <n v="31"/>
    <x v="2"/>
    <x v="1"/>
    <x v="0"/>
    <x v="0"/>
    <x v="1"/>
    <x v="3"/>
    <s v="Normal"/>
  </r>
  <r>
    <n v="221"/>
    <d v="2011-01-10T00:00:00"/>
    <n v="1"/>
    <n v="0"/>
    <n v="1"/>
    <x v="11"/>
    <x v="0"/>
    <x v="2"/>
    <n v="2"/>
    <n v="0.16"/>
    <n v="0.13639999999999999"/>
    <n v="0.47"/>
    <n v="0.28360000000000002"/>
    <n v="2"/>
    <n v="28"/>
    <n v="30"/>
    <x v="2"/>
    <x v="1"/>
    <x v="0"/>
    <x v="0"/>
    <x v="1"/>
    <x v="3"/>
    <s v="Normal"/>
  </r>
  <r>
    <n v="222"/>
    <d v="2011-01-10T00:00:00"/>
    <n v="1"/>
    <n v="0"/>
    <n v="1"/>
    <x v="12"/>
    <x v="0"/>
    <x v="2"/>
    <n v="2"/>
    <n v="0.2"/>
    <n v="0.18179999999999999"/>
    <n v="0.4"/>
    <n v="0.28360000000000002"/>
    <n v="5"/>
    <n v="47"/>
    <n v="52"/>
    <x v="2"/>
    <x v="1"/>
    <x v="0"/>
    <x v="1"/>
    <x v="2"/>
    <x v="0"/>
    <s v="Normal"/>
  </r>
  <r>
    <n v="223"/>
    <d v="2011-01-10T00:00:00"/>
    <n v="1"/>
    <n v="0"/>
    <n v="1"/>
    <x v="13"/>
    <x v="0"/>
    <x v="2"/>
    <n v="2"/>
    <n v="0.2"/>
    <n v="0.18179999999999999"/>
    <n v="0.4"/>
    <n v="0.28360000000000002"/>
    <n v="4"/>
    <n v="50"/>
    <n v="54"/>
    <x v="2"/>
    <x v="1"/>
    <x v="0"/>
    <x v="1"/>
    <x v="2"/>
    <x v="0"/>
    <s v="Normal"/>
  </r>
  <r>
    <n v="224"/>
    <d v="2011-01-10T00:00:00"/>
    <n v="1"/>
    <n v="0"/>
    <n v="1"/>
    <x v="14"/>
    <x v="0"/>
    <x v="2"/>
    <n v="2"/>
    <n v="0.2"/>
    <n v="0.19700000000000001"/>
    <n v="0.4"/>
    <n v="0.22389999999999999"/>
    <n v="0"/>
    <n v="47"/>
    <n v="47"/>
    <x v="2"/>
    <x v="1"/>
    <x v="0"/>
    <x v="0"/>
    <x v="2"/>
    <x v="0"/>
    <s v="Normal"/>
  </r>
  <r>
    <n v="225"/>
    <d v="2011-01-10T00:00:00"/>
    <n v="1"/>
    <n v="0"/>
    <n v="1"/>
    <x v="15"/>
    <x v="0"/>
    <x v="2"/>
    <n v="2"/>
    <n v="0.2"/>
    <n v="0.19700000000000001"/>
    <n v="0.4"/>
    <n v="0.22389999999999999"/>
    <n v="2"/>
    <n v="43"/>
    <n v="45"/>
    <x v="2"/>
    <x v="1"/>
    <x v="0"/>
    <x v="0"/>
    <x v="2"/>
    <x v="0"/>
    <s v="Normal"/>
  </r>
  <r>
    <n v="226"/>
    <d v="2011-01-10T00:00:00"/>
    <n v="1"/>
    <n v="0"/>
    <n v="1"/>
    <x v="16"/>
    <x v="0"/>
    <x v="2"/>
    <n v="1"/>
    <n v="0.2"/>
    <n v="0.21210000000000001"/>
    <n v="0.4"/>
    <n v="0.1343"/>
    <n v="4"/>
    <n v="70"/>
    <n v="74"/>
    <x v="2"/>
    <x v="0"/>
    <x v="0"/>
    <x v="1"/>
    <x v="2"/>
    <x v="0"/>
    <s v="Normal"/>
  </r>
  <r>
    <n v="227"/>
    <d v="2011-01-10T00:00:00"/>
    <n v="1"/>
    <n v="0"/>
    <n v="1"/>
    <x v="17"/>
    <x v="0"/>
    <x v="2"/>
    <n v="1"/>
    <n v="0.2"/>
    <n v="0.2273"/>
    <n v="0.4"/>
    <n v="0.1045"/>
    <n v="4"/>
    <n v="174"/>
    <n v="178"/>
    <x v="2"/>
    <x v="0"/>
    <x v="1"/>
    <x v="2"/>
    <x v="2"/>
    <x v="0"/>
    <s v="⬆ Spike"/>
  </r>
  <r>
    <n v="228"/>
    <d v="2011-01-10T00:00:00"/>
    <n v="1"/>
    <n v="0"/>
    <n v="1"/>
    <x v="18"/>
    <x v="0"/>
    <x v="2"/>
    <n v="1"/>
    <n v="0.2"/>
    <n v="0.19700000000000001"/>
    <n v="0.4"/>
    <n v="0.22389999999999999"/>
    <n v="1"/>
    <n v="154"/>
    <n v="155"/>
    <x v="2"/>
    <x v="0"/>
    <x v="1"/>
    <x v="2"/>
    <x v="3"/>
    <x v="0"/>
    <s v="Normal"/>
  </r>
  <r>
    <n v="229"/>
    <d v="2011-01-10T00:00:00"/>
    <n v="1"/>
    <n v="0"/>
    <n v="1"/>
    <x v="19"/>
    <x v="0"/>
    <x v="2"/>
    <n v="1"/>
    <n v="0.16"/>
    <n v="0.16669999999999999"/>
    <n v="0.47"/>
    <n v="0.16420000000000001"/>
    <n v="3"/>
    <n v="92"/>
    <n v="95"/>
    <x v="2"/>
    <x v="0"/>
    <x v="1"/>
    <x v="1"/>
    <x v="3"/>
    <x v="3"/>
    <s v="Normal"/>
  </r>
  <r>
    <n v="230"/>
    <d v="2011-01-10T00:00:00"/>
    <n v="1"/>
    <n v="0"/>
    <n v="1"/>
    <x v="20"/>
    <x v="0"/>
    <x v="2"/>
    <n v="1"/>
    <n v="0.16"/>
    <n v="0.16669999999999999"/>
    <n v="0.5"/>
    <n v="0.16420000000000001"/>
    <n v="1"/>
    <n v="73"/>
    <n v="74"/>
    <x v="2"/>
    <x v="0"/>
    <x v="0"/>
    <x v="1"/>
    <x v="3"/>
    <x v="3"/>
    <s v="Normal"/>
  </r>
  <r>
    <n v="231"/>
    <d v="2011-01-10T00:00:00"/>
    <n v="1"/>
    <n v="0"/>
    <n v="1"/>
    <x v="21"/>
    <x v="0"/>
    <x v="2"/>
    <n v="1"/>
    <n v="0.14000000000000001"/>
    <n v="0.13639999999999999"/>
    <n v="0.59"/>
    <n v="0.19400000000000001"/>
    <n v="1"/>
    <n v="37"/>
    <n v="38"/>
    <x v="2"/>
    <x v="0"/>
    <x v="0"/>
    <x v="0"/>
    <x v="3"/>
    <x v="3"/>
    <s v="Normal"/>
  </r>
  <r>
    <n v="232"/>
    <d v="2011-01-10T00:00:00"/>
    <n v="1"/>
    <n v="0"/>
    <n v="1"/>
    <x v="22"/>
    <x v="0"/>
    <x v="2"/>
    <n v="1"/>
    <n v="0.14000000000000001"/>
    <n v="0.1515"/>
    <n v="0.59"/>
    <n v="0.16420000000000001"/>
    <n v="2"/>
    <n v="22"/>
    <n v="24"/>
    <x v="2"/>
    <x v="0"/>
    <x v="0"/>
    <x v="0"/>
    <x v="3"/>
    <x v="3"/>
    <s v="Normal"/>
  </r>
  <r>
    <n v="233"/>
    <d v="2011-01-10T00:00:00"/>
    <n v="1"/>
    <n v="0"/>
    <n v="1"/>
    <x v="23"/>
    <x v="0"/>
    <x v="2"/>
    <n v="1"/>
    <n v="0.14000000000000001"/>
    <n v="0.1515"/>
    <n v="0.59"/>
    <n v="0.16420000000000001"/>
    <n v="0"/>
    <n v="18"/>
    <n v="18"/>
    <x v="2"/>
    <x v="0"/>
    <x v="0"/>
    <x v="0"/>
    <x v="3"/>
    <x v="3"/>
    <s v="Normal"/>
  </r>
  <r>
    <n v="234"/>
    <d v="2011-01-11T00:00:00"/>
    <n v="1"/>
    <n v="0"/>
    <n v="1"/>
    <x v="0"/>
    <x v="0"/>
    <x v="3"/>
    <n v="1"/>
    <n v="0.14000000000000001"/>
    <n v="0.16669999999999999"/>
    <n v="0.59"/>
    <n v="0.1045"/>
    <n v="2"/>
    <n v="10"/>
    <n v="12"/>
    <x v="3"/>
    <x v="0"/>
    <x v="0"/>
    <x v="0"/>
    <x v="0"/>
    <x v="3"/>
    <s v="Normal"/>
  </r>
  <r>
    <n v="235"/>
    <d v="2011-01-11T00:00:00"/>
    <n v="1"/>
    <n v="0"/>
    <n v="1"/>
    <x v="1"/>
    <x v="0"/>
    <x v="3"/>
    <n v="1"/>
    <n v="0.14000000000000001"/>
    <n v="0.1515"/>
    <n v="0.59"/>
    <n v="0.16420000000000001"/>
    <n v="0"/>
    <n v="3"/>
    <n v="3"/>
    <x v="3"/>
    <x v="0"/>
    <x v="0"/>
    <x v="0"/>
    <x v="0"/>
    <x v="3"/>
    <s v="Normal"/>
  </r>
  <r>
    <n v="236"/>
    <d v="2011-01-11T00:00:00"/>
    <n v="1"/>
    <n v="0"/>
    <n v="1"/>
    <x v="2"/>
    <x v="0"/>
    <x v="3"/>
    <n v="2"/>
    <n v="0.16"/>
    <n v="0.1515"/>
    <n v="0.55000000000000004"/>
    <n v="0.19400000000000001"/>
    <n v="0"/>
    <n v="3"/>
    <n v="3"/>
    <x v="3"/>
    <x v="1"/>
    <x v="0"/>
    <x v="0"/>
    <x v="0"/>
    <x v="3"/>
    <s v="Normal"/>
  </r>
  <r>
    <n v="237"/>
    <d v="2011-01-11T00:00:00"/>
    <n v="1"/>
    <n v="0"/>
    <n v="1"/>
    <x v="5"/>
    <x v="0"/>
    <x v="3"/>
    <n v="2"/>
    <n v="0.16"/>
    <n v="0.18179999999999999"/>
    <n v="0.55000000000000004"/>
    <n v="0.1343"/>
    <n v="0"/>
    <n v="6"/>
    <n v="6"/>
    <x v="3"/>
    <x v="1"/>
    <x v="0"/>
    <x v="0"/>
    <x v="0"/>
    <x v="3"/>
    <s v="Normal"/>
  </r>
  <r>
    <n v="238"/>
    <d v="2011-01-11T00:00:00"/>
    <n v="1"/>
    <n v="0"/>
    <n v="1"/>
    <x v="6"/>
    <x v="0"/>
    <x v="3"/>
    <n v="2"/>
    <n v="0.16"/>
    <n v="0.18179999999999999"/>
    <n v="0.55000000000000004"/>
    <n v="0.1343"/>
    <n v="0"/>
    <n v="27"/>
    <n v="27"/>
    <x v="3"/>
    <x v="1"/>
    <x v="0"/>
    <x v="0"/>
    <x v="1"/>
    <x v="3"/>
    <s v="Normal"/>
  </r>
  <r>
    <n v="239"/>
    <d v="2011-01-11T00:00:00"/>
    <n v="1"/>
    <n v="0"/>
    <n v="1"/>
    <x v="7"/>
    <x v="0"/>
    <x v="3"/>
    <n v="2"/>
    <n v="0.16"/>
    <n v="0.2273"/>
    <n v="0.55000000000000004"/>
    <n v="0"/>
    <n v="2"/>
    <n v="97"/>
    <n v="99"/>
    <x v="3"/>
    <x v="1"/>
    <x v="1"/>
    <x v="1"/>
    <x v="1"/>
    <x v="3"/>
    <s v="Normal"/>
  </r>
  <r>
    <n v="240"/>
    <d v="2011-01-11T00:00:00"/>
    <n v="1"/>
    <n v="0"/>
    <n v="1"/>
    <x v="8"/>
    <x v="0"/>
    <x v="3"/>
    <n v="2"/>
    <n v="0.18"/>
    <n v="0.21210000000000001"/>
    <n v="0.51"/>
    <n v="8.9599999999999999E-2"/>
    <n v="3"/>
    <n v="214"/>
    <n v="217"/>
    <x v="3"/>
    <x v="1"/>
    <x v="1"/>
    <x v="2"/>
    <x v="1"/>
    <x v="3"/>
    <s v="⬆ Spike"/>
  </r>
  <r>
    <n v="241"/>
    <d v="2011-01-11T00:00:00"/>
    <n v="1"/>
    <n v="0"/>
    <n v="1"/>
    <x v="9"/>
    <x v="0"/>
    <x v="3"/>
    <n v="2"/>
    <n v="0.18"/>
    <n v="0.19700000000000001"/>
    <n v="0.51"/>
    <n v="0.16420000000000001"/>
    <n v="3"/>
    <n v="127"/>
    <n v="130"/>
    <x v="3"/>
    <x v="1"/>
    <x v="1"/>
    <x v="1"/>
    <x v="1"/>
    <x v="3"/>
    <s v="Normal"/>
  </r>
  <r>
    <n v="242"/>
    <d v="2011-01-11T00:00:00"/>
    <n v="1"/>
    <n v="0"/>
    <n v="1"/>
    <x v="10"/>
    <x v="0"/>
    <x v="3"/>
    <n v="2"/>
    <n v="0.2"/>
    <n v="0.21210000000000001"/>
    <n v="0.51"/>
    <n v="0.16420000000000001"/>
    <n v="3"/>
    <n v="51"/>
    <n v="54"/>
    <x v="3"/>
    <x v="1"/>
    <x v="0"/>
    <x v="1"/>
    <x v="1"/>
    <x v="0"/>
    <s v="Normal"/>
  </r>
  <r>
    <n v="243"/>
    <d v="2011-01-11T00:00:00"/>
    <n v="1"/>
    <n v="0"/>
    <n v="1"/>
    <x v="11"/>
    <x v="0"/>
    <x v="3"/>
    <n v="2"/>
    <n v="0.2"/>
    <n v="0.21210000000000001"/>
    <n v="0.47"/>
    <n v="0.1343"/>
    <n v="4"/>
    <n v="31"/>
    <n v="35"/>
    <x v="3"/>
    <x v="1"/>
    <x v="0"/>
    <x v="0"/>
    <x v="1"/>
    <x v="0"/>
    <s v="Normal"/>
  </r>
  <r>
    <n v="244"/>
    <d v="2011-01-11T00:00:00"/>
    <n v="1"/>
    <n v="0"/>
    <n v="1"/>
    <x v="12"/>
    <x v="0"/>
    <x v="3"/>
    <n v="2"/>
    <n v="0.2"/>
    <n v="0.2273"/>
    <n v="0.51"/>
    <n v="0.1045"/>
    <n v="2"/>
    <n v="55"/>
    <n v="57"/>
    <x v="3"/>
    <x v="1"/>
    <x v="0"/>
    <x v="1"/>
    <x v="2"/>
    <x v="0"/>
    <s v="Normal"/>
  </r>
  <r>
    <n v="245"/>
    <d v="2011-01-11T00:00:00"/>
    <n v="1"/>
    <n v="0"/>
    <n v="1"/>
    <x v="13"/>
    <x v="0"/>
    <x v="3"/>
    <n v="2"/>
    <n v="0.2"/>
    <n v="0.2273"/>
    <n v="0.59"/>
    <n v="8.9599999999999999E-2"/>
    <n v="6"/>
    <n v="46"/>
    <n v="52"/>
    <x v="3"/>
    <x v="1"/>
    <x v="0"/>
    <x v="1"/>
    <x v="2"/>
    <x v="0"/>
    <s v="Normal"/>
  </r>
  <r>
    <n v="246"/>
    <d v="2011-01-11T00:00:00"/>
    <n v="1"/>
    <n v="0"/>
    <n v="1"/>
    <x v="14"/>
    <x v="0"/>
    <x v="3"/>
    <n v="2"/>
    <n v="0.2"/>
    <n v="0.2273"/>
    <n v="0.59"/>
    <n v="8.9599999999999999E-2"/>
    <n v="3"/>
    <n v="60"/>
    <n v="63"/>
    <x v="3"/>
    <x v="1"/>
    <x v="0"/>
    <x v="1"/>
    <x v="2"/>
    <x v="0"/>
    <s v="Normal"/>
  </r>
  <r>
    <n v="247"/>
    <d v="2011-01-11T00:00:00"/>
    <n v="1"/>
    <n v="0"/>
    <n v="1"/>
    <x v="15"/>
    <x v="0"/>
    <x v="3"/>
    <n v="2"/>
    <n v="0.16"/>
    <n v="0.19700000000000001"/>
    <n v="0.8"/>
    <n v="8.9599999999999999E-2"/>
    <n v="2"/>
    <n v="45"/>
    <n v="47"/>
    <x v="3"/>
    <x v="1"/>
    <x v="0"/>
    <x v="0"/>
    <x v="2"/>
    <x v="3"/>
    <s v="Normal"/>
  </r>
  <r>
    <n v="248"/>
    <d v="2011-01-11T00:00:00"/>
    <n v="1"/>
    <n v="0"/>
    <n v="1"/>
    <x v="16"/>
    <x v="0"/>
    <x v="3"/>
    <n v="2"/>
    <n v="0.16"/>
    <n v="0.1515"/>
    <n v="0.86"/>
    <n v="0.22389999999999999"/>
    <n v="4"/>
    <n v="72"/>
    <n v="76"/>
    <x v="3"/>
    <x v="1"/>
    <x v="0"/>
    <x v="1"/>
    <x v="2"/>
    <x v="3"/>
    <s v="Normal"/>
  </r>
  <r>
    <n v="249"/>
    <d v="2011-01-11T00:00:00"/>
    <n v="1"/>
    <n v="0"/>
    <n v="1"/>
    <x v="17"/>
    <x v="0"/>
    <x v="3"/>
    <n v="2"/>
    <n v="0.16"/>
    <n v="0.1515"/>
    <n v="0.86"/>
    <n v="0.22389999999999999"/>
    <n v="6"/>
    <n v="130"/>
    <n v="136"/>
    <x v="3"/>
    <x v="1"/>
    <x v="1"/>
    <x v="1"/>
    <x v="2"/>
    <x v="3"/>
    <s v="Normal"/>
  </r>
  <r>
    <n v="250"/>
    <d v="2011-01-11T00:00:00"/>
    <n v="1"/>
    <n v="0"/>
    <n v="1"/>
    <x v="18"/>
    <x v="0"/>
    <x v="3"/>
    <n v="3"/>
    <n v="0.16"/>
    <n v="0.18179999999999999"/>
    <n v="0.93"/>
    <n v="0.1045"/>
    <n v="1"/>
    <n v="94"/>
    <n v="95"/>
    <x v="3"/>
    <x v="2"/>
    <x v="1"/>
    <x v="1"/>
    <x v="3"/>
    <x v="3"/>
    <s v="Normal"/>
  </r>
  <r>
    <n v="251"/>
    <d v="2011-01-11T00:00:00"/>
    <n v="1"/>
    <n v="0"/>
    <n v="1"/>
    <x v="19"/>
    <x v="0"/>
    <x v="3"/>
    <n v="3"/>
    <n v="0.16"/>
    <n v="0.2273"/>
    <n v="0.93"/>
    <n v="0"/>
    <n v="0"/>
    <n v="51"/>
    <n v="51"/>
    <x v="3"/>
    <x v="2"/>
    <x v="1"/>
    <x v="1"/>
    <x v="3"/>
    <x v="3"/>
    <s v="Normal"/>
  </r>
  <r>
    <n v="252"/>
    <d v="2011-01-11T00:00:00"/>
    <n v="1"/>
    <n v="0"/>
    <n v="1"/>
    <x v="20"/>
    <x v="0"/>
    <x v="3"/>
    <n v="3"/>
    <n v="0.16"/>
    <n v="0.1515"/>
    <n v="0.93"/>
    <n v="0.19400000000000001"/>
    <n v="0"/>
    <n v="32"/>
    <n v="32"/>
    <x v="3"/>
    <x v="2"/>
    <x v="0"/>
    <x v="0"/>
    <x v="3"/>
    <x v="3"/>
    <s v="Normal"/>
  </r>
  <r>
    <n v="253"/>
    <d v="2011-01-11T00:00:00"/>
    <n v="1"/>
    <n v="0"/>
    <n v="1"/>
    <x v="21"/>
    <x v="0"/>
    <x v="3"/>
    <n v="3"/>
    <n v="0.16"/>
    <n v="0.19700000000000001"/>
    <n v="0.86"/>
    <n v="8.9599999999999999E-2"/>
    <n v="0"/>
    <n v="20"/>
    <n v="20"/>
    <x v="3"/>
    <x v="2"/>
    <x v="0"/>
    <x v="0"/>
    <x v="3"/>
    <x v="3"/>
    <s v="Normal"/>
  </r>
  <r>
    <n v="254"/>
    <d v="2011-01-11T00:00:00"/>
    <n v="1"/>
    <n v="0"/>
    <n v="1"/>
    <x v="22"/>
    <x v="0"/>
    <x v="3"/>
    <n v="3"/>
    <n v="0.16"/>
    <n v="0.18179999999999999"/>
    <n v="0.93"/>
    <n v="0.1045"/>
    <n v="1"/>
    <n v="28"/>
    <n v="29"/>
    <x v="3"/>
    <x v="2"/>
    <x v="0"/>
    <x v="0"/>
    <x v="3"/>
    <x v="3"/>
    <s v="Normal"/>
  </r>
  <r>
    <n v="255"/>
    <d v="2011-01-11T00:00:00"/>
    <n v="1"/>
    <n v="0"/>
    <n v="1"/>
    <x v="23"/>
    <x v="0"/>
    <x v="3"/>
    <n v="3"/>
    <n v="0.16"/>
    <n v="0.19700000000000001"/>
    <n v="0.93"/>
    <n v="8.9599999999999999E-2"/>
    <n v="1"/>
    <n v="18"/>
    <n v="19"/>
    <x v="3"/>
    <x v="2"/>
    <x v="0"/>
    <x v="0"/>
    <x v="3"/>
    <x v="3"/>
    <s v="Normal"/>
  </r>
  <r>
    <n v="256"/>
    <d v="2011-01-12T00:00:00"/>
    <n v="1"/>
    <n v="0"/>
    <n v="1"/>
    <x v="0"/>
    <x v="0"/>
    <x v="4"/>
    <n v="2"/>
    <n v="0.16"/>
    <n v="0.19700000000000001"/>
    <n v="0.86"/>
    <n v="8.9599999999999999E-2"/>
    <n v="0"/>
    <n v="7"/>
    <n v="7"/>
    <x v="4"/>
    <x v="1"/>
    <x v="0"/>
    <x v="0"/>
    <x v="0"/>
    <x v="3"/>
    <s v="Normal"/>
  </r>
  <r>
    <n v="257"/>
    <d v="2011-01-12T00:00:00"/>
    <n v="1"/>
    <n v="0"/>
    <n v="1"/>
    <x v="1"/>
    <x v="0"/>
    <x v="4"/>
    <n v="2"/>
    <n v="0.16"/>
    <n v="0.18179999999999999"/>
    <n v="0.86"/>
    <n v="0.1045"/>
    <n v="0"/>
    <n v="6"/>
    <n v="6"/>
    <x v="4"/>
    <x v="1"/>
    <x v="0"/>
    <x v="0"/>
    <x v="0"/>
    <x v="3"/>
    <s v="Normal"/>
  </r>
  <r>
    <n v="258"/>
    <d v="2011-01-12T00:00:00"/>
    <n v="1"/>
    <n v="0"/>
    <n v="1"/>
    <x v="2"/>
    <x v="0"/>
    <x v="4"/>
    <n v="1"/>
    <n v="0.14000000000000001"/>
    <n v="0.1515"/>
    <n v="0.86"/>
    <n v="0.1343"/>
    <n v="0"/>
    <n v="1"/>
    <n v="1"/>
    <x v="4"/>
    <x v="0"/>
    <x v="0"/>
    <x v="0"/>
    <x v="0"/>
    <x v="3"/>
    <s v="Normal"/>
  </r>
  <r>
    <n v="259"/>
    <d v="2011-01-12T00:00:00"/>
    <n v="1"/>
    <n v="0"/>
    <n v="1"/>
    <x v="5"/>
    <x v="0"/>
    <x v="4"/>
    <n v="1"/>
    <n v="0.14000000000000001"/>
    <n v="0.1515"/>
    <n v="0.86"/>
    <n v="0.16420000000000001"/>
    <n v="0"/>
    <n v="5"/>
    <n v="5"/>
    <x v="4"/>
    <x v="0"/>
    <x v="0"/>
    <x v="0"/>
    <x v="0"/>
    <x v="3"/>
    <s v="Normal"/>
  </r>
  <r>
    <n v="260"/>
    <d v="2011-01-12T00:00:00"/>
    <n v="1"/>
    <n v="0"/>
    <n v="1"/>
    <x v="6"/>
    <x v="0"/>
    <x v="4"/>
    <n v="1"/>
    <n v="0.12"/>
    <n v="0.1515"/>
    <n v="0.93"/>
    <n v="0.1343"/>
    <n v="0"/>
    <n v="16"/>
    <n v="16"/>
    <x v="4"/>
    <x v="0"/>
    <x v="0"/>
    <x v="0"/>
    <x v="1"/>
    <x v="3"/>
    <s v="Normal"/>
  </r>
  <r>
    <n v="261"/>
    <d v="2011-01-12T00:00:00"/>
    <n v="1"/>
    <n v="0"/>
    <n v="1"/>
    <x v="7"/>
    <x v="0"/>
    <x v="4"/>
    <n v="1"/>
    <n v="0.14000000000000001"/>
    <n v="0.1515"/>
    <n v="0.69"/>
    <n v="0.1343"/>
    <n v="0"/>
    <n v="54"/>
    <n v="54"/>
    <x v="4"/>
    <x v="0"/>
    <x v="1"/>
    <x v="1"/>
    <x v="1"/>
    <x v="3"/>
    <s v="Normal"/>
  </r>
  <r>
    <n v="262"/>
    <d v="2011-01-12T00:00:00"/>
    <n v="1"/>
    <n v="0"/>
    <n v="1"/>
    <x v="8"/>
    <x v="0"/>
    <x v="4"/>
    <n v="1"/>
    <n v="0.16"/>
    <n v="0.16669999999999999"/>
    <n v="0.59"/>
    <n v="0.16420000000000001"/>
    <n v="3"/>
    <n v="125"/>
    <n v="128"/>
    <x v="4"/>
    <x v="0"/>
    <x v="1"/>
    <x v="1"/>
    <x v="1"/>
    <x v="3"/>
    <s v="Normal"/>
  </r>
  <r>
    <n v="263"/>
    <d v="2011-01-12T00:00:00"/>
    <n v="1"/>
    <n v="0"/>
    <n v="1"/>
    <x v="9"/>
    <x v="0"/>
    <x v="4"/>
    <n v="1"/>
    <n v="0.16"/>
    <n v="0.13639999999999999"/>
    <n v="0.59"/>
    <n v="0.32840000000000003"/>
    <n v="3"/>
    <n v="78"/>
    <n v="81"/>
    <x v="4"/>
    <x v="0"/>
    <x v="1"/>
    <x v="1"/>
    <x v="1"/>
    <x v="3"/>
    <s v="Normal"/>
  </r>
  <r>
    <n v="264"/>
    <d v="2011-01-12T00:00:00"/>
    <n v="1"/>
    <n v="0"/>
    <n v="1"/>
    <x v="10"/>
    <x v="0"/>
    <x v="4"/>
    <n v="1"/>
    <n v="0.18"/>
    <n v="0.18179999999999999"/>
    <n v="0.55000000000000004"/>
    <n v="0.22389999999999999"/>
    <n v="0"/>
    <n v="39"/>
    <n v="39"/>
    <x v="4"/>
    <x v="0"/>
    <x v="0"/>
    <x v="0"/>
    <x v="1"/>
    <x v="3"/>
    <s v="Normal"/>
  </r>
  <r>
    <n v="265"/>
    <d v="2011-01-12T00:00:00"/>
    <n v="1"/>
    <n v="0"/>
    <n v="1"/>
    <x v="11"/>
    <x v="0"/>
    <x v="4"/>
    <n v="1"/>
    <n v="0.2"/>
    <n v="0.18179999999999999"/>
    <n v="0.51"/>
    <n v="0.3881"/>
    <n v="3"/>
    <n v="32"/>
    <n v="35"/>
    <x v="4"/>
    <x v="0"/>
    <x v="0"/>
    <x v="0"/>
    <x v="1"/>
    <x v="0"/>
    <s v="Normal"/>
  </r>
  <r>
    <n v="266"/>
    <d v="2011-01-12T00:00:00"/>
    <n v="1"/>
    <n v="0"/>
    <n v="1"/>
    <x v="12"/>
    <x v="0"/>
    <x v="4"/>
    <n v="1"/>
    <n v="0.2"/>
    <n v="0.1515"/>
    <n v="0.47"/>
    <n v="0.58209999999999995"/>
    <n v="3"/>
    <n v="52"/>
    <n v="55"/>
    <x v="4"/>
    <x v="0"/>
    <x v="0"/>
    <x v="1"/>
    <x v="2"/>
    <x v="0"/>
    <s v="Normal"/>
  </r>
  <r>
    <n v="267"/>
    <d v="2011-01-12T00:00:00"/>
    <n v="1"/>
    <n v="0"/>
    <n v="1"/>
    <x v="13"/>
    <x v="0"/>
    <x v="4"/>
    <n v="1"/>
    <n v="0.22"/>
    <n v="0.19700000000000001"/>
    <n v="0.44"/>
    <n v="0.35820000000000002"/>
    <n v="0"/>
    <n v="49"/>
    <n v="49"/>
    <x v="4"/>
    <x v="0"/>
    <x v="0"/>
    <x v="0"/>
    <x v="2"/>
    <x v="0"/>
    <s v="Normal"/>
  </r>
  <r>
    <n v="268"/>
    <d v="2011-01-12T00:00:00"/>
    <n v="1"/>
    <n v="0"/>
    <n v="1"/>
    <x v="14"/>
    <x v="0"/>
    <x v="4"/>
    <n v="1"/>
    <n v="0.2"/>
    <n v="0.18179999999999999"/>
    <n v="0.47"/>
    <n v="0.32840000000000003"/>
    <n v="0"/>
    <n v="44"/>
    <n v="44"/>
    <x v="4"/>
    <x v="0"/>
    <x v="0"/>
    <x v="0"/>
    <x v="2"/>
    <x v="0"/>
    <s v="Normal"/>
  </r>
  <r>
    <n v="269"/>
    <d v="2011-01-12T00:00:00"/>
    <n v="1"/>
    <n v="0"/>
    <n v="1"/>
    <x v="15"/>
    <x v="0"/>
    <x v="4"/>
    <n v="1"/>
    <n v="0.2"/>
    <n v="0.16669999999999999"/>
    <n v="0.47"/>
    <n v="0.41789999999999999"/>
    <n v="1"/>
    <n v="48"/>
    <n v="49"/>
    <x v="4"/>
    <x v="0"/>
    <x v="0"/>
    <x v="0"/>
    <x v="2"/>
    <x v="0"/>
    <s v="Normal"/>
  </r>
  <r>
    <n v="270"/>
    <d v="2011-01-12T00:00:00"/>
    <n v="1"/>
    <n v="0"/>
    <n v="1"/>
    <x v="16"/>
    <x v="0"/>
    <x v="4"/>
    <n v="1"/>
    <n v="0.22"/>
    <n v="0.19700000000000001"/>
    <n v="0.44"/>
    <n v="0.32840000000000003"/>
    <n v="5"/>
    <n v="63"/>
    <n v="68"/>
    <x v="4"/>
    <x v="0"/>
    <x v="0"/>
    <x v="1"/>
    <x v="2"/>
    <x v="0"/>
    <s v="Normal"/>
  </r>
  <r>
    <n v="271"/>
    <d v="2011-01-12T00:00:00"/>
    <n v="1"/>
    <n v="0"/>
    <n v="1"/>
    <x v="17"/>
    <x v="0"/>
    <x v="4"/>
    <n v="1"/>
    <n v="0.2"/>
    <n v="0.18179999999999999"/>
    <n v="0.47"/>
    <n v="0.35820000000000002"/>
    <n v="0"/>
    <n v="139"/>
    <n v="139"/>
    <x v="4"/>
    <x v="0"/>
    <x v="1"/>
    <x v="1"/>
    <x v="2"/>
    <x v="0"/>
    <s v="Normal"/>
  </r>
  <r>
    <n v="272"/>
    <d v="2011-01-12T00:00:00"/>
    <n v="1"/>
    <n v="0"/>
    <n v="1"/>
    <x v="18"/>
    <x v="0"/>
    <x v="4"/>
    <n v="1"/>
    <n v="0.2"/>
    <n v="0.1515"/>
    <n v="0.47"/>
    <n v="0.52239999999999998"/>
    <n v="2"/>
    <n v="135"/>
    <n v="137"/>
    <x v="4"/>
    <x v="0"/>
    <x v="1"/>
    <x v="1"/>
    <x v="3"/>
    <x v="0"/>
    <s v="Normal"/>
  </r>
  <r>
    <n v="273"/>
    <d v="2011-01-12T00:00:00"/>
    <n v="1"/>
    <n v="0"/>
    <n v="1"/>
    <x v="19"/>
    <x v="0"/>
    <x v="4"/>
    <n v="1"/>
    <n v="0.18"/>
    <n v="0.1515"/>
    <n v="0.47"/>
    <n v="0.41789999999999999"/>
    <n v="1"/>
    <n v="82"/>
    <n v="83"/>
    <x v="4"/>
    <x v="0"/>
    <x v="1"/>
    <x v="1"/>
    <x v="3"/>
    <x v="3"/>
    <s v="Normal"/>
  </r>
  <r>
    <n v="274"/>
    <d v="2011-01-12T00:00:00"/>
    <n v="1"/>
    <n v="0"/>
    <n v="1"/>
    <x v="20"/>
    <x v="0"/>
    <x v="4"/>
    <n v="1"/>
    <n v="0.16"/>
    <n v="0.13639999999999999"/>
    <n v="0.5"/>
    <n v="0.32840000000000003"/>
    <n v="2"/>
    <n v="54"/>
    <n v="56"/>
    <x v="4"/>
    <x v="0"/>
    <x v="0"/>
    <x v="1"/>
    <x v="3"/>
    <x v="3"/>
    <s v="Normal"/>
  </r>
  <r>
    <n v="275"/>
    <d v="2011-01-12T00:00:00"/>
    <n v="1"/>
    <n v="0"/>
    <n v="1"/>
    <x v="21"/>
    <x v="0"/>
    <x v="4"/>
    <n v="1"/>
    <n v="0.16"/>
    <n v="0.13639999999999999"/>
    <n v="0.55000000000000004"/>
    <n v="0.32840000000000003"/>
    <n v="0"/>
    <n v="57"/>
    <n v="57"/>
    <x v="4"/>
    <x v="0"/>
    <x v="0"/>
    <x v="1"/>
    <x v="3"/>
    <x v="3"/>
    <s v="Normal"/>
  </r>
  <r>
    <n v="276"/>
    <d v="2011-01-12T00:00:00"/>
    <n v="1"/>
    <n v="0"/>
    <n v="1"/>
    <x v="22"/>
    <x v="0"/>
    <x v="4"/>
    <n v="1"/>
    <n v="0.16"/>
    <n v="0.1212"/>
    <n v="0.55000000000000004"/>
    <n v="0.44779999999999998"/>
    <n v="1"/>
    <n v="32"/>
    <n v="33"/>
    <x v="4"/>
    <x v="0"/>
    <x v="0"/>
    <x v="0"/>
    <x v="3"/>
    <x v="3"/>
    <s v="Normal"/>
  </r>
  <r>
    <n v="277"/>
    <d v="2011-01-12T00:00:00"/>
    <n v="1"/>
    <n v="0"/>
    <n v="1"/>
    <x v="23"/>
    <x v="0"/>
    <x v="4"/>
    <n v="1"/>
    <n v="0.14000000000000001"/>
    <n v="0.1061"/>
    <n v="0.59"/>
    <n v="0.41789999999999999"/>
    <n v="1"/>
    <n v="19"/>
    <n v="20"/>
    <x v="4"/>
    <x v="0"/>
    <x v="0"/>
    <x v="0"/>
    <x v="3"/>
    <x v="3"/>
    <s v="Normal"/>
  </r>
  <r>
    <n v="278"/>
    <d v="2011-01-13T00:00:00"/>
    <n v="1"/>
    <n v="0"/>
    <n v="1"/>
    <x v="0"/>
    <x v="0"/>
    <x v="5"/>
    <n v="1"/>
    <n v="0.14000000000000001"/>
    <n v="0.1212"/>
    <n v="0.59"/>
    <n v="0.28360000000000002"/>
    <n v="1"/>
    <n v="6"/>
    <n v="7"/>
    <x v="5"/>
    <x v="0"/>
    <x v="0"/>
    <x v="0"/>
    <x v="0"/>
    <x v="3"/>
    <s v="Normal"/>
  </r>
  <r>
    <n v="279"/>
    <d v="2011-01-13T00:00:00"/>
    <n v="1"/>
    <n v="0"/>
    <n v="1"/>
    <x v="1"/>
    <x v="0"/>
    <x v="5"/>
    <n v="1"/>
    <n v="0.14000000000000001"/>
    <n v="0.1212"/>
    <n v="0.5"/>
    <n v="0.28360000000000002"/>
    <n v="0"/>
    <n v="2"/>
    <n v="2"/>
    <x v="5"/>
    <x v="0"/>
    <x v="0"/>
    <x v="0"/>
    <x v="0"/>
    <x v="3"/>
    <s v="Normal"/>
  </r>
  <r>
    <n v="280"/>
    <d v="2011-01-13T00:00:00"/>
    <n v="1"/>
    <n v="0"/>
    <n v="1"/>
    <x v="2"/>
    <x v="0"/>
    <x v="5"/>
    <n v="1"/>
    <n v="0.14000000000000001"/>
    <n v="0.1212"/>
    <n v="0.5"/>
    <n v="0.35820000000000002"/>
    <n v="0"/>
    <n v="2"/>
    <n v="2"/>
    <x v="5"/>
    <x v="0"/>
    <x v="0"/>
    <x v="0"/>
    <x v="0"/>
    <x v="3"/>
    <s v="Normal"/>
  </r>
  <r>
    <n v="281"/>
    <d v="2011-01-13T00:00:00"/>
    <n v="1"/>
    <n v="0"/>
    <n v="1"/>
    <x v="3"/>
    <x v="0"/>
    <x v="5"/>
    <n v="1"/>
    <n v="0.14000000000000001"/>
    <n v="0.1212"/>
    <n v="0.5"/>
    <n v="0.32840000000000003"/>
    <n v="0"/>
    <n v="3"/>
    <n v="3"/>
    <x v="5"/>
    <x v="0"/>
    <x v="0"/>
    <x v="0"/>
    <x v="0"/>
    <x v="3"/>
    <s v="Normal"/>
  </r>
  <r>
    <n v="282"/>
    <d v="2011-01-13T00:00:00"/>
    <n v="1"/>
    <n v="0"/>
    <n v="1"/>
    <x v="4"/>
    <x v="0"/>
    <x v="5"/>
    <n v="1"/>
    <n v="0.14000000000000001"/>
    <n v="0.1212"/>
    <n v="0.5"/>
    <n v="0.25369999999999998"/>
    <n v="0"/>
    <n v="4"/>
    <n v="4"/>
    <x v="5"/>
    <x v="0"/>
    <x v="0"/>
    <x v="0"/>
    <x v="0"/>
    <x v="3"/>
    <s v="Normal"/>
  </r>
  <r>
    <n v="283"/>
    <d v="2011-01-13T00:00:00"/>
    <n v="1"/>
    <n v="0"/>
    <n v="1"/>
    <x v="5"/>
    <x v="0"/>
    <x v="5"/>
    <n v="1"/>
    <n v="0.14000000000000001"/>
    <n v="0.1212"/>
    <n v="0.5"/>
    <n v="0.29849999999999999"/>
    <n v="0"/>
    <n v="3"/>
    <n v="3"/>
    <x v="5"/>
    <x v="0"/>
    <x v="0"/>
    <x v="0"/>
    <x v="0"/>
    <x v="3"/>
    <s v="Normal"/>
  </r>
  <r>
    <n v="284"/>
    <d v="2011-01-13T00:00:00"/>
    <n v="1"/>
    <n v="0"/>
    <n v="1"/>
    <x v="6"/>
    <x v="0"/>
    <x v="5"/>
    <n v="1"/>
    <n v="0.12"/>
    <n v="0.1515"/>
    <n v="0.54"/>
    <n v="0.1343"/>
    <n v="0"/>
    <n v="28"/>
    <n v="28"/>
    <x v="5"/>
    <x v="0"/>
    <x v="0"/>
    <x v="0"/>
    <x v="1"/>
    <x v="3"/>
    <s v="Normal"/>
  </r>
  <r>
    <n v="285"/>
    <d v="2011-01-13T00:00:00"/>
    <n v="1"/>
    <n v="0"/>
    <n v="1"/>
    <x v="7"/>
    <x v="0"/>
    <x v="5"/>
    <n v="1"/>
    <n v="0.12"/>
    <n v="0.1515"/>
    <n v="0.54"/>
    <n v="0.1343"/>
    <n v="0"/>
    <n v="72"/>
    <n v="72"/>
    <x v="5"/>
    <x v="0"/>
    <x v="1"/>
    <x v="1"/>
    <x v="1"/>
    <x v="3"/>
    <s v="Normal"/>
  </r>
  <r>
    <n v="286"/>
    <d v="2011-01-13T00:00:00"/>
    <n v="1"/>
    <n v="0"/>
    <n v="1"/>
    <x v="8"/>
    <x v="0"/>
    <x v="5"/>
    <n v="1"/>
    <n v="0.14000000000000001"/>
    <n v="0.13639999999999999"/>
    <n v="0.5"/>
    <n v="0.19400000000000001"/>
    <n v="5"/>
    <n v="197"/>
    <n v="202"/>
    <x v="5"/>
    <x v="0"/>
    <x v="1"/>
    <x v="2"/>
    <x v="1"/>
    <x v="3"/>
    <s v="⬆ Spike"/>
  </r>
  <r>
    <n v="287"/>
    <d v="2011-01-13T00:00:00"/>
    <n v="1"/>
    <n v="0"/>
    <n v="1"/>
    <x v="9"/>
    <x v="0"/>
    <x v="5"/>
    <n v="1"/>
    <n v="0.14000000000000001"/>
    <n v="0.1212"/>
    <n v="0.5"/>
    <n v="0.32840000000000003"/>
    <n v="2"/>
    <n v="137"/>
    <n v="139"/>
    <x v="5"/>
    <x v="0"/>
    <x v="1"/>
    <x v="1"/>
    <x v="1"/>
    <x v="3"/>
    <s v="Normal"/>
  </r>
  <r>
    <n v="288"/>
    <d v="2011-01-13T00:00:00"/>
    <n v="1"/>
    <n v="0"/>
    <n v="1"/>
    <x v="10"/>
    <x v="0"/>
    <x v="5"/>
    <n v="2"/>
    <n v="0.16"/>
    <n v="0.13639999999999999"/>
    <n v="0.5"/>
    <n v="0.35820000000000002"/>
    <n v="2"/>
    <n v="36"/>
    <n v="38"/>
    <x v="5"/>
    <x v="1"/>
    <x v="0"/>
    <x v="0"/>
    <x v="1"/>
    <x v="3"/>
    <s v="Normal"/>
  </r>
  <r>
    <n v="289"/>
    <d v="2011-01-13T00:00:00"/>
    <n v="1"/>
    <n v="0"/>
    <n v="1"/>
    <x v="11"/>
    <x v="0"/>
    <x v="5"/>
    <n v="2"/>
    <n v="0.2"/>
    <n v="0.16669999999999999"/>
    <n v="0.44"/>
    <n v="0.44779999999999998"/>
    <n v="4"/>
    <n v="33"/>
    <n v="37"/>
    <x v="5"/>
    <x v="1"/>
    <x v="0"/>
    <x v="0"/>
    <x v="1"/>
    <x v="0"/>
    <s v="Normal"/>
  </r>
  <r>
    <n v="290"/>
    <d v="2011-01-13T00:00:00"/>
    <n v="1"/>
    <n v="0"/>
    <n v="1"/>
    <x v="12"/>
    <x v="0"/>
    <x v="5"/>
    <n v="1"/>
    <n v="0.2"/>
    <n v="0.16669999999999999"/>
    <n v="0.44"/>
    <n v="0.41789999999999999"/>
    <n v="3"/>
    <n v="49"/>
    <n v="52"/>
    <x v="5"/>
    <x v="0"/>
    <x v="0"/>
    <x v="1"/>
    <x v="2"/>
    <x v="0"/>
    <s v="Normal"/>
  </r>
  <r>
    <n v="291"/>
    <d v="2011-01-13T00:00:00"/>
    <n v="1"/>
    <n v="0"/>
    <n v="1"/>
    <x v="13"/>
    <x v="0"/>
    <x v="5"/>
    <n v="1"/>
    <n v="0.22"/>
    <n v="0.19700000000000001"/>
    <n v="0.41"/>
    <n v="0.44779999999999998"/>
    <n v="2"/>
    <n v="81"/>
    <n v="83"/>
    <x v="5"/>
    <x v="0"/>
    <x v="0"/>
    <x v="1"/>
    <x v="2"/>
    <x v="0"/>
    <s v="Normal"/>
  </r>
  <r>
    <n v="292"/>
    <d v="2011-01-13T00:00:00"/>
    <n v="1"/>
    <n v="0"/>
    <n v="1"/>
    <x v="14"/>
    <x v="0"/>
    <x v="5"/>
    <n v="1"/>
    <n v="0.22"/>
    <n v="0.19700000000000001"/>
    <n v="0.41"/>
    <n v="0.3881"/>
    <n v="3"/>
    <n v="39"/>
    <n v="42"/>
    <x v="5"/>
    <x v="0"/>
    <x v="0"/>
    <x v="0"/>
    <x v="2"/>
    <x v="0"/>
    <s v="Normal"/>
  </r>
  <r>
    <n v="293"/>
    <d v="2011-01-13T00:00:00"/>
    <n v="1"/>
    <n v="0"/>
    <n v="1"/>
    <x v="15"/>
    <x v="0"/>
    <x v="5"/>
    <n v="1"/>
    <n v="0.24"/>
    <n v="0.21210000000000001"/>
    <n v="0.38"/>
    <n v="0.29849999999999999"/>
    <n v="5"/>
    <n v="55"/>
    <n v="60"/>
    <x v="5"/>
    <x v="0"/>
    <x v="0"/>
    <x v="1"/>
    <x v="2"/>
    <x v="0"/>
    <s v="Normal"/>
  </r>
  <r>
    <n v="294"/>
    <d v="2011-01-13T00:00:00"/>
    <n v="1"/>
    <n v="0"/>
    <n v="1"/>
    <x v="16"/>
    <x v="0"/>
    <x v="5"/>
    <n v="1"/>
    <n v="0.24"/>
    <n v="0.21210000000000001"/>
    <n v="0.38"/>
    <n v="0.35820000000000002"/>
    <n v="2"/>
    <n v="76"/>
    <n v="78"/>
    <x v="5"/>
    <x v="0"/>
    <x v="0"/>
    <x v="1"/>
    <x v="2"/>
    <x v="0"/>
    <s v="Normal"/>
  </r>
  <r>
    <n v="295"/>
    <d v="2011-01-13T00:00:00"/>
    <n v="1"/>
    <n v="0"/>
    <n v="1"/>
    <x v="17"/>
    <x v="0"/>
    <x v="5"/>
    <n v="1"/>
    <n v="0.2"/>
    <n v="0.18179999999999999"/>
    <n v="0.4"/>
    <n v="0.28360000000000002"/>
    <n v="4"/>
    <n v="158"/>
    <n v="162"/>
    <x v="5"/>
    <x v="0"/>
    <x v="1"/>
    <x v="2"/>
    <x v="2"/>
    <x v="0"/>
    <s v="⬆ Spike"/>
  </r>
  <r>
    <n v="296"/>
    <d v="2011-01-13T00:00:00"/>
    <n v="1"/>
    <n v="0"/>
    <n v="1"/>
    <x v="18"/>
    <x v="0"/>
    <x v="5"/>
    <n v="1"/>
    <n v="0.2"/>
    <n v="0.18179999999999999"/>
    <n v="0.4"/>
    <n v="0.32840000000000003"/>
    <n v="3"/>
    <n v="141"/>
    <n v="144"/>
    <x v="5"/>
    <x v="0"/>
    <x v="1"/>
    <x v="1"/>
    <x v="3"/>
    <x v="0"/>
    <s v="Normal"/>
  </r>
  <r>
    <n v="297"/>
    <d v="2011-01-13T00:00:00"/>
    <n v="1"/>
    <n v="0"/>
    <n v="1"/>
    <x v="19"/>
    <x v="0"/>
    <x v="5"/>
    <n v="1"/>
    <n v="0.16"/>
    <n v="0.1515"/>
    <n v="0.47"/>
    <n v="0.25369999999999998"/>
    <n v="1"/>
    <n v="98"/>
    <n v="99"/>
    <x v="5"/>
    <x v="0"/>
    <x v="1"/>
    <x v="1"/>
    <x v="3"/>
    <x v="3"/>
    <s v="Normal"/>
  </r>
  <r>
    <n v="298"/>
    <d v="2011-01-13T00:00:00"/>
    <n v="1"/>
    <n v="0"/>
    <n v="1"/>
    <x v="20"/>
    <x v="0"/>
    <x v="5"/>
    <n v="1"/>
    <n v="0.16"/>
    <n v="0.1515"/>
    <n v="0.47"/>
    <n v="0.22389999999999999"/>
    <n v="0"/>
    <n v="64"/>
    <n v="64"/>
    <x v="5"/>
    <x v="0"/>
    <x v="0"/>
    <x v="1"/>
    <x v="3"/>
    <x v="3"/>
    <s v="Normal"/>
  </r>
  <r>
    <n v="299"/>
    <d v="2011-01-13T00:00:00"/>
    <n v="1"/>
    <n v="0"/>
    <n v="1"/>
    <x v="21"/>
    <x v="0"/>
    <x v="5"/>
    <n v="1"/>
    <n v="0.14000000000000001"/>
    <n v="0.1212"/>
    <n v="0.46"/>
    <n v="0.29849999999999999"/>
    <n v="0"/>
    <n v="40"/>
    <n v="40"/>
    <x v="5"/>
    <x v="0"/>
    <x v="0"/>
    <x v="0"/>
    <x v="3"/>
    <x v="3"/>
    <s v="Normal"/>
  </r>
  <r>
    <n v="300"/>
    <d v="2011-01-13T00:00:00"/>
    <n v="1"/>
    <n v="0"/>
    <n v="1"/>
    <x v="22"/>
    <x v="0"/>
    <x v="5"/>
    <n v="1"/>
    <n v="0.14000000000000001"/>
    <n v="0.1212"/>
    <n v="0.46"/>
    <n v="0.32840000000000003"/>
    <n v="0"/>
    <n v="30"/>
    <n v="30"/>
    <x v="5"/>
    <x v="0"/>
    <x v="0"/>
    <x v="0"/>
    <x v="3"/>
    <x v="3"/>
    <s v="Normal"/>
  </r>
  <r>
    <n v="301"/>
    <d v="2011-01-13T00:00:00"/>
    <n v="1"/>
    <n v="0"/>
    <n v="1"/>
    <x v="23"/>
    <x v="0"/>
    <x v="5"/>
    <n v="1"/>
    <n v="0.12"/>
    <n v="0.13639999999999999"/>
    <n v="0.5"/>
    <n v="0.19400000000000001"/>
    <n v="1"/>
    <n v="14"/>
    <n v="15"/>
    <x v="5"/>
    <x v="0"/>
    <x v="0"/>
    <x v="0"/>
    <x v="3"/>
    <x v="3"/>
    <s v="Normal"/>
  </r>
  <r>
    <n v="302"/>
    <d v="2011-01-14T00:00:00"/>
    <n v="1"/>
    <n v="0"/>
    <n v="1"/>
    <x v="0"/>
    <x v="0"/>
    <x v="6"/>
    <n v="1"/>
    <n v="0.12"/>
    <n v="0.13639999999999999"/>
    <n v="0.5"/>
    <n v="0.19400000000000001"/>
    <n v="0"/>
    <n v="14"/>
    <n v="14"/>
    <x v="6"/>
    <x v="0"/>
    <x v="0"/>
    <x v="0"/>
    <x v="0"/>
    <x v="3"/>
    <s v="Normal"/>
  </r>
  <r>
    <n v="303"/>
    <d v="2011-01-14T00:00:00"/>
    <n v="1"/>
    <n v="0"/>
    <n v="1"/>
    <x v="1"/>
    <x v="0"/>
    <x v="6"/>
    <n v="1"/>
    <n v="0.1"/>
    <n v="0.1212"/>
    <n v="0.54"/>
    <n v="0.16420000000000001"/>
    <n v="0"/>
    <n v="5"/>
    <n v="5"/>
    <x v="6"/>
    <x v="0"/>
    <x v="0"/>
    <x v="0"/>
    <x v="0"/>
    <x v="3"/>
    <s v="Normal"/>
  </r>
  <r>
    <n v="304"/>
    <d v="2011-01-14T00:00:00"/>
    <n v="1"/>
    <n v="0"/>
    <n v="1"/>
    <x v="2"/>
    <x v="0"/>
    <x v="6"/>
    <n v="1"/>
    <n v="0.1"/>
    <n v="0.1212"/>
    <n v="0.54"/>
    <n v="0.1343"/>
    <n v="0"/>
    <n v="1"/>
    <n v="1"/>
    <x v="6"/>
    <x v="0"/>
    <x v="0"/>
    <x v="0"/>
    <x v="0"/>
    <x v="3"/>
    <s v="Normal"/>
  </r>
  <r>
    <n v="305"/>
    <d v="2011-01-14T00:00:00"/>
    <n v="1"/>
    <n v="0"/>
    <n v="1"/>
    <x v="3"/>
    <x v="0"/>
    <x v="6"/>
    <n v="1"/>
    <n v="0.1"/>
    <n v="0.13639999999999999"/>
    <n v="0.54"/>
    <n v="0.1045"/>
    <n v="0"/>
    <n v="1"/>
    <n v="1"/>
    <x v="6"/>
    <x v="0"/>
    <x v="0"/>
    <x v="0"/>
    <x v="0"/>
    <x v="3"/>
    <s v="Normal"/>
  </r>
  <r>
    <n v="306"/>
    <d v="2011-01-14T00:00:00"/>
    <n v="1"/>
    <n v="0"/>
    <n v="1"/>
    <x v="5"/>
    <x v="0"/>
    <x v="6"/>
    <n v="1"/>
    <n v="0.1"/>
    <n v="0.13639999999999999"/>
    <n v="0.54"/>
    <n v="8.9599999999999999E-2"/>
    <n v="0"/>
    <n v="8"/>
    <n v="8"/>
    <x v="6"/>
    <x v="0"/>
    <x v="0"/>
    <x v="0"/>
    <x v="0"/>
    <x v="3"/>
    <s v="Normal"/>
  </r>
  <r>
    <n v="307"/>
    <d v="2011-01-14T00:00:00"/>
    <n v="1"/>
    <n v="0"/>
    <n v="1"/>
    <x v="6"/>
    <x v="0"/>
    <x v="6"/>
    <n v="1"/>
    <n v="0.1"/>
    <n v="0.18179999999999999"/>
    <n v="0.54"/>
    <n v="0"/>
    <n v="0"/>
    <n v="17"/>
    <n v="17"/>
    <x v="6"/>
    <x v="0"/>
    <x v="0"/>
    <x v="0"/>
    <x v="1"/>
    <x v="3"/>
    <s v="Normal"/>
  </r>
  <r>
    <n v="308"/>
    <d v="2011-01-14T00:00:00"/>
    <n v="1"/>
    <n v="0"/>
    <n v="1"/>
    <x v="7"/>
    <x v="0"/>
    <x v="6"/>
    <n v="1"/>
    <n v="0.1"/>
    <n v="0.1212"/>
    <n v="0.74"/>
    <n v="0.16420000000000001"/>
    <n v="0"/>
    <n v="70"/>
    <n v="70"/>
    <x v="6"/>
    <x v="0"/>
    <x v="1"/>
    <x v="1"/>
    <x v="1"/>
    <x v="3"/>
    <s v="Normal"/>
  </r>
  <r>
    <n v="309"/>
    <d v="2011-01-14T00:00:00"/>
    <n v="1"/>
    <n v="0"/>
    <n v="1"/>
    <x v="8"/>
    <x v="0"/>
    <x v="6"/>
    <n v="1"/>
    <n v="0.12"/>
    <n v="0.16669999999999999"/>
    <n v="0.68"/>
    <n v="0"/>
    <n v="2"/>
    <n v="156"/>
    <n v="158"/>
    <x v="6"/>
    <x v="0"/>
    <x v="1"/>
    <x v="2"/>
    <x v="1"/>
    <x v="3"/>
    <s v="Normal"/>
  </r>
  <r>
    <n v="310"/>
    <d v="2011-01-14T00:00:00"/>
    <n v="1"/>
    <n v="0"/>
    <n v="1"/>
    <x v="9"/>
    <x v="0"/>
    <x v="6"/>
    <n v="1"/>
    <n v="0.14000000000000001"/>
    <n v="0.1515"/>
    <n v="0.69"/>
    <n v="0.1343"/>
    <n v="0"/>
    <n v="117"/>
    <n v="117"/>
    <x v="6"/>
    <x v="0"/>
    <x v="1"/>
    <x v="1"/>
    <x v="1"/>
    <x v="3"/>
    <s v="Normal"/>
  </r>
  <r>
    <n v="311"/>
    <d v="2011-01-14T00:00:00"/>
    <n v="1"/>
    <n v="0"/>
    <n v="1"/>
    <x v="10"/>
    <x v="0"/>
    <x v="6"/>
    <n v="1"/>
    <n v="0.18"/>
    <n v="0.18179999999999999"/>
    <n v="0.55000000000000004"/>
    <n v="0.19400000000000001"/>
    <n v="4"/>
    <n v="40"/>
    <n v="44"/>
    <x v="6"/>
    <x v="0"/>
    <x v="0"/>
    <x v="0"/>
    <x v="1"/>
    <x v="3"/>
    <s v="Normal"/>
  </r>
  <r>
    <n v="312"/>
    <d v="2011-01-14T00:00:00"/>
    <n v="1"/>
    <n v="0"/>
    <n v="1"/>
    <x v="11"/>
    <x v="0"/>
    <x v="6"/>
    <n v="1"/>
    <n v="0.18"/>
    <n v="0.16669999999999999"/>
    <n v="0.51"/>
    <n v="0.28360000000000002"/>
    <n v="6"/>
    <n v="47"/>
    <n v="53"/>
    <x v="6"/>
    <x v="0"/>
    <x v="0"/>
    <x v="1"/>
    <x v="1"/>
    <x v="3"/>
    <s v="Normal"/>
  </r>
  <r>
    <n v="313"/>
    <d v="2011-01-14T00:00:00"/>
    <n v="1"/>
    <n v="0"/>
    <n v="1"/>
    <x v="12"/>
    <x v="0"/>
    <x v="6"/>
    <n v="1"/>
    <n v="0.2"/>
    <n v="0.19700000000000001"/>
    <n v="0.44"/>
    <n v="0.25369999999999998"/>
    <n v="2"/>
    <n v="59"/>
    <n v="61"/>
    <x v="6"/>
    <x v="0"/>
    <x v="0"/>
    <x v="1"/>
    <x v="2"/>
    <x v="0"/>
    <s v="Normal"/>
  </r>
  <r>
    <n v="314"/>
    <d v="2011-01-14T00:00:00"/>
    <n v="1"/>
    <n v="0"/>
    <n v="1"/>
    <x v="13"/>
    <x v="0"/>
    <x v="6"/>
    <n v="1"/>
    <n v="0.22"/>
    <n v="0.19700000000000001"/>
    <n v="0.37"/>
    <n v="0.3881"/>
    <n v="4"/>
    <n v="73"/>
    <n v="77"/>
    <x v="6"/>
    <x v="0"/>
    <x v="0"/>
    <x v="1"/>
    <x v="2"/>
    <x v="0"/>
    <s v="Normal"/>
  </r>
  <r>
    <n v="315"/>
    <d v="2011-01-14T00:00:00"/>
    <n v="1"/>
    <n v="0"/>
    <n v="1"/>
    <x v="14"/>
    <x v="0"/>
    <x v="6"/>
    <n v="1"/>
    <n v="0.22"/>
    <n v="0.21210000000000001"/>
    <n v="0.41"/>
    <n v="0.28360000000000002"/>
    <n v="5"/>
    <n v="59"/>
    <n v="64"/>
    <x v="6"/>
    <x v="0"/>
    <x v="0"/>
    <x v="1"/>
    <x v="2"/>
    <x v="0"/>
    <s v="Normal"/>
  </r>
  <r>
    <n v="316"/>
    <d v="2011-01-14T00:00:00"/>
    <n v="1"/>
    <n v="0"/>
    <n v="1"/>
    <x v="15"/>
    <x v="0"/>
    <x v="6"/>
    <n v="1"/>
    <n v="0.24"/>
    <n v="0.2424"/>
    <n v="0.38"/>
    <n v="0.16420000000000001"/>
    <n v="9"/>
    <n v="59"/>
    <n v="68"/>
    <x v="6"/>
    <x v="0"/>
    <x v="0"/>
    <x v="1"/>
    <x v="2"/>
    <x v="0"/>
    <s v="Normal"/>
  </r>
  <r>
    <n v="317"/>
    <d v="2011-01-14T00:00:00"/>
    <n v="1"/>
    <n v="0"/>
    <n v="1"/>
    <x v="16"/>
    <x v="0"/>
    <x v="6"/>
    <n v="1"/>
    <n v="0.22"/>
    <n v="0.2424"/>
    <n v="0.41"/>
    <n v="0.1045"/>
    <n v="3"/>
    <n v="87"/>
    <n v="90"/>
    <x v="6"/>
    <x v="0"/>
    <x v="0"/>
    <x v="1"/>
    <x v="2"/>
    <x v="0"/>
    <s v="Normal"/>
  </r>
  <r>
    <n v="318"/>
    <d v="2011-01-14T00:00:00"/>
    <n v="1"/>
    <n v="0"/>
    <n v="1"/>
    <x v="17"/>
    <x v="0"/>
    <x v="6"/>
    <n v="1"/>
    <n v="0.22"/>
    <n v="0.2273"/>
    <n v="0.41"/>
    <n v="0.16420000000000001"/>
    <n v="4"/>
    <n v="155"/>
    <n v="159"/>
    <x v="6"/>
    <x v="0"/>
    <x v="1"/>
    <x v="2"/>
    <x v="2"/>
    <x v="0"/>
    <s v="Normal"/>
  </r>
  <r>
    <n v="319"/>
    <d v="2011-01-14T00:00:00"/>
    <n v="1"/>
    <n v="0"/>
    <n v="1"/>
    <x v="18"/>
    <x v="0"/>
    <x v="6"/>
    <n v="1"/>
    <n v="0.2"/>
    <n v="0.2576"/>
    <n v="0.47"/>
    <n v="0"/>
    <n v="5"/>
    <n v="134"/>
    <n v="139"/>
    <x v="6"/>
    <x v="0"/>
    <x v="1"/>
    <x v="1"/>
    <x v="3"/>
    <x v="0"/>
    <s v="Normal"/>
  </r>
  <r>
    <n v="320"/>
    <d v="2011-01-14T00:00:00"/>
    <n v="1"/>
    <n v="0"/>
    <n v="1"/>
    <x v="19"/>
    <x v="0"/>
    <x v="6"/>
    <n v="1"/>
    <n v="0.16"/>
    <n v="0.19700000000000001"/>
    <n v="0.59"/>
    <n v="8.9599999999999999E-2"/>
    <n v="3"/>
    <n v="89"/>
    <n v="92"/>
    <x v="6"/>
    <x v="0"/>
    <x v="1"/>
    <x v="1"/>
    <x v="3"/>
    <x v="3"/>
    <s v="Normal"/>
  </r>
  <r>
    <n v="321"/>
    <d v="2011-01-14T00:00:00"/>
    <n v="1"/>
    <n v="0"/>
    <n v="1"/>
    <x v="20"/>
    <x v="0"/>
    <x v="6"/>
    <n v="1"/>
    <n v="0.18"/>
    <n v="0.2424"/>
    <n v="0.59"/>
    <n v="0"/>
    <n v="0"/>
    <n v="68"/>
    <n v="68"/>
    <x v="6"/>
    <x v="0"/>
    <x v="0"/>
    <x v="1"/>
    <x v="3"/>
    <x v="3"/>
    <s v="Normal"/>
  </r>
  <r>
    <n v="322"/>
    <d v="2011-01-14T00:00:00"/>
    <n v="1"/>
    <n v="0"/>
    <n v="1"/>
    <x v="21"/>
    <x v="0"/>
    <x v="6"/>
    <n v="1"/>
    <n v="0.16"/>
    <n v="0.2273"/>
    <n v="0.69"/>
    <n v="0"/>
    <n v="4"/>
    <n v="48"/>
    <n v="52"/>
    <x v="6"/>
    <x v="0"/>
    <x v="0"/>
    <x v="1"/>
    <x v="3"/>
    <x v="3"/>
    <s v="Normal"/>
  </r>
  <r>
    <n v="323"/>
    <d v="2011-01-14T00:00:00"/>
    <n v="1"/>
    <n v="0"/>
    <n v="1"/>
    <x v="22"/>
    <x v="0"/>
    <x v="6"/>
    <n v="2"/>
    <n v="0.16"/>
    <n v="0.2273"/>
    <n v="0.69"/>
    <n v="0"/>
    <n v="2"/>
    <n v="34"/>
    <n v="36"/>
    <x v="6"/>
    <x v="1"/>
    <x v="0"/>
    <x v="0"/>
    <x v="3"/>
    <x v="3"/>
    <s v="Normal"/>
  </r>
  <r>
    <n v="324"/>
    <d v="2011-01-14T00:00:00"/>
    <n v="1"/>
    <n v="0"/>
    <n v="1"/>
    <x v="23"/>
    <x v="0"/>
    <x v="6"/>
    <n v="2"/>
    <n v="0.18"/>
    <n v="0.2424"/>
    <n v="0.55000000000000004"/>
    <n v="0"/>
    <n v="1"/>
    <n v="26"/>
    <n v="27"/>
    <x v="6"/>
    <x v="1"/>
    <x v="0"/>
    <x v="0"/>
    <x v="3"/>
    <x v="3"/>
    <s v="Normal"/>
  </r>
  <r>
    <n v="325"/>
    <d v="2011-01-15T00:00:00"/>
    <n v="1"/>
    <n v="0"/>
    <n v="1"/>
    <x v="0"/>
    <x v="0"/>
    <x v="0"/>
    <n v="1"/>
    <n v="0.18"/>
    <n v="0.2424"/>
    <n v="0.55000000000000004"/>
    <n v="0"/>
    <n v="3"/>
    <n v="25"/>
    <n v="28"/>
    <x v="0"/>
    <x v="0"/>
    <x v="0"/>
    <x v="0"/>
    <x v="0"/>
    <x v="3"/>
    <s v="Normal"/>
  </r>
  <r>
    <n v="326"/>
    <d v="2011-01-15T00:00:00"/>
    <n v="1"/>
    <n v="0"/>
    <n v="1"/>
    <x v="1"/>
    <x v="0"/>
    <x v="0"/>
    <n v="2"/>
    <n v="0.16"/>
    <n v="0.19700000000000001"/>
    <n v="0.59"/>
    <n v="8.9599999999999999E-2"/>
    <n v="2"/>
    <n v="18"/>
    <n v="20"/>
    <x v="0"/>
    <x v="1"/>
    <x v="0"/>
    <x v="0"/>
    <x v="0"/>
    <x v="3"/>
    <s v="Normal"/>
  </r>
  <r>
    <n v="327"/>
    <d v="2011-01-15T00:00:00"/>
    <n v="1"/>
    <n v="0"/>
    <n v="1"/>
    <x v="2"/>
    <x v="0"/>
    <x v="0"/>
    <n v="2"/>
    <n v="0.16"/>
    <n v="0.19700000000000001"/>
    <n v="0.59"/>
    <n v="8.9599999999999999E-2"/>
    <n v="0"/>
    <n v="12"/>
    <n v="12"/>
    <x v="0"/>
    <x v="1"/>
    <x v="0"/>
    <x v="0"/>
    <x v="0"/>
    <x v="3"/>
    <s v="Normal"/>
  </r>
  <r>
    <n v="328"/>
    <d v="2011-01-15T00:00:00"/>
    <n v="1"/>
    <n v="0"/>
    <n v="1"/>
    <x v="3"/>
    <x v="0"/>
    <x v="0"/>
    <n v="2"/>
    <n v="0.16"/>
    <n v="0.2273"/>
    <n v="0.59"/>
    <n v="0"/>
    <n v="1"/>
    <n v="7"/>
    <n v="8"/>
    <x v="0"/>
    <x v="1"/>
    <x v="0"/>
    <x v="0"/>
    <x v="0"/>
    <x v="3"/>
    <s v="Normal"/>
  </r>
  <r>
    <n v="329"/>
    <d v="2011-01-15T00:00:00"/>
    <n v="1"/>
    <n v="0"/>
    <n v="1"/>
    <x v="4"/>
    <x v="0"/>
    <x v="0"/>
    <n v="2"/>
    <n v="0.16"/>
    <n v="0.2273"/>
    <n v="0.59"/>
    <n v="0"/>
    <n v="0"/>
    <n v="5"/>
    <n v="5"/>
    <x v="0"/>
    <x v="1"/>
    <x v="0"/>
    <x v="0"/>
    <x v="0"/>
    <x v="3"/>
    <s v="Normal"/>
  </r>
  <r>
    <n v="330"/>
    <d v="2011-01-15T00:00:00"/>
    <n v="1"/>
    <n v="0"/>
    <n v="1"/>
    <x v="5"/>
    <x v="0"/>
    <x v="0"/>
    <n v="1"/>
    <n v="0.16"/>
    <n v="0.2273"/>
    <n v="0.59"/>
    <n v="0"/>
    <n v="0"/>
    <n v="1"/>
    <n v="1"/>
    <x v="0"/>
    <x v="0"/>
    <x v="0"/>
    <x v="0"/>
    <x v="0"/>
    <x v="3"/>
    <s v="Normal"/>
  </r>
  <r>
    <n v="331"/>
    <d v="2011-01-15T00:00:00"/>
    <n v="1"/>
    <n v="0"/>
    <n v="1"/>
    <x v="6"/>
    <x v="0"/>
    <x v="0"/>
    <n v="1"/>
    <n v="0.14000000000000001"/>
    <n v="0.16669999999999999"/>
    <n v="0.63"/>
    <n v="0.1045"/>
    <n v="1"/>
    <n v="2"/>
    <n v="3"/>
    <x v="0"/>
    <x v="0"/>
    <x v="0"/>
    <x v="0"/>
    <x v="1"/>
    <x v="3"/>
    <s v="Normal"/>
  </r>
  <r>
    <n v="332"/>
    <d v="2011-01-15T00:00:00"/>
    <n v="1"/>
    <n v="0"/>
    <n v="1"/>
    <x v="7"/>
    <x v="0"/>
    <x v="0"/>
    <n v="1"/>
    <n v="0.14000000000000001"/>
    <n v="0.21210000000000001"/>
    <n v="0.63"/>
    <n v="0"/>
    <n v="1"/>
    <n v="9"/>
    <n v="10"/>
    <x v="0"/>
    <x v="0"/>
    <x v="1"/>
    <x v="0"/>
    <x v="1"/>
    <x v="3"/>
    <s v="Normal"/>
  </r>
  <r>
    <n v="333"/>
    <d v="2011-01-15T00:00:00"/>
    <n v="1"/>
    <n v="0"/>
    <n v="1"/>
    <x v="8"/>
    <x v="0"/>
    <x v="0"/>
    <n v="1"/>
    <n v="0.14000000000000001"/>
    <n v="0.1515"/>
    <n v="0.63"/>
    <n v="0.1343"/>
    <n v="1"/>
    <n v="22"/>
    <n v="23"/>
    <x v="0"/>
    <x v="0"/>
    <x v="1"/>
    <x v="0"/>
    <x v="1"/>
    <x v="3"/>
    <s v="Normal"/>
  </r>
  <r>
    <n v="334"/>
    <d v="2011-01-15T00:00:00"/>
    <n v="1"/>
    <n v="0"/>
    <n v="1"/>
    <x v="9"/>
    <x v="0"/>
    <x v="0"/>
    <n v="1"/>
    <n v="0.16"/>
    <n v="0.18179999999999999"/>
    <n v="0.64"/>
    <n v="0.1343"/>
    <n v="2"/>
    <n v="31"/>
    <n v="33"/>
    <x v="0"/>
    <x v="0"/>
    <x v="1"/>
    <x v="0"/>
    <x v="1"/>
    <x v="3"/>
    <s v="Normal"/>
  </r>
  <r>
    <n v="335"/>
    <d v="2011-01-15T00:00:00"/>
    <n v="1"/>
    <n v="0"/>
    <n v="1"/>
    <x v="10"/>
    <x v="0"/>
    <x v="0"/>
    <n v="1"/>
    <n v="0.18"/>
    <n v="0.19700000000000001"/>
    <n v="0.59"/>
    <n v="0.16420000000000001"/>
    <n v="2"/>
    <n v="57"/>
    <n v="59"/>
    <x v="0"/>
    <x v="0"/>
    <x v="0"/>
    <x v="1"/>
    <x v="1"/>
    <x v="3"/>
    <s v="Normal"/>
  </r>
  <r>
    <n v="336"/>
    <d v="2011-01-15T00:00:00"/>
    <n v="1"/>
    <n v="0"/>
    <n v="1"/>
    <x v="11"/>
    <x v="0"/>
    <x v="0"/>
    <n v="1"/>
    <n v="0.2"/>
    <n v="0.19700000000000001"/>
    <n v="0.55000000000000004"/>
    <n v="0.22389999999999999"/>
    <n v="18"/>
    <n v="54"/>
    <n v="72"/>
    <x v="0"/>
    <x v="0"/>
    <x v="0"/>
    <x v="1"/>
    <x v="1"/>
    <x v="0"/>
    <s v="Normal"/>
  </r>
  <r>
    <n v="337"/>
    <d v="2011-01-15T00:00:00"/>
    <n v="1"/>
    <n v="0"/>
    <n v="1"/>
    <x v="12"/>
    <x v="0"/>
    <x v="0"/>
    <n v="1"/>
    <n v="0.24"/>
    <n v="0.2273"/>
    <n v="0.48"/>
    <n v="0.22389999999999999"/>
    <n v="15"/>
    <n v="74"/>
    <n v="89"/>
    <x v="0"/>
    <x v="0"/>
    <x v="0"/>
    <x v="1"/>
    <x v="2"/>
    <x v="0"/>
    <s v="Normal"/>
  </r>
  <r>
    <n v="338"/>
    <d v="2011-01-15T00:00:00"/>
    <n v="1"/>
    <n v="0"/>
    <n v="1"/>
    <x v="13"/>
    <x v="0"/>
    <x v="0"/>
    <n v="1"/>
    <n v="0.28000000000000003"/>
    <n v="0.2576"/>
    <n v="0.38"/>
    <n v="0.29849999999999999"/>
    <n v="21"/>
    <n v="80"/>
    <n v="101"/>
    <x v="0"/>
    <x v="0"/>
    <x v="0"/>
    <x v="1"/>
    <x v="2"/>
    <x v="0"/>
    <s v="Normal"/>
  </r>
  <r>
    <n v="339"/>
    <d v="2011-01-15T00:00:00"/>
    <n v="1"/>
    <n v="0"/>
    <n v="1"/>
    <x v="14"/>
    <x v="0"/>
    <x v="0"/>
    <n v="1"/>
    <n v="0.3"/>
    <n v="0.28789999999999999"/>
    <n v="0.39"/>
    <n v="0.28360000000000002"/>
    <n v="26"/>
    <n v="92"/>
    <n v="118"/>
    <x v="0"/>
    <x v="0"/>
    <x v="0"/>
    <x v="1"/>
    <x v="2"/>
    <x v="1"/>
    <s v="Normal"/>
  </r>
  <r>
    <n v="340"/>
    <d v="2011-01-15T00:00:00"/>
    <n v="1"/>
    <n v="0"/>
    <n v="1"/>
    <x v="15"/>
    <x v="0"/>
    <x v="0"/>
    <n v="2"/>
    <n v="0.32"/>
    <n v="0.31819999999999998"/>
    <n v="0.36"/>
    <n v="0.19400000000000001"/>
    <n v="21"/>
    <n v="108"/>
    <n v="129"/>
    <x v="0"/>
    <x v="1"/>
    <x v="0"/>
    <x v="1"/>
    <x v="2"/>
    <x v="1"/>
    <s v="Normal"/>
  </r>
  <r>
    <n v="341"/>
    <d v="2011-01-15T00:00:00"/>
    <n v="1"/>
    <n v="0"/>
    <n v="1"/>
    <x v="16"/>
    <x v="0"/>
    <x v="0"/>
    <n v="2"/>
    <n v="0.34"/>
    <n v="0.33329999999999999"/>
    <n v="0.34"/>
    <n v="0.19400000000000001"/>
    <n v="33"/>
    <n v="95"/>
    <n v="128"/>
    <x v="0"/>
    <x v="1"/>
    <x v="0"/>
    <x v="1"/>
    <x v="2"/>
    <x v="1"/>
    <s v="Normal"/>
  </r>
  <r>
    <n v="342"/>
    <d v="2011-01-15T00:00:00"/>
    <n v="1"/>
    <n v="0"/>
    <n v="1"/>
    <x v="17"/>
    <x v="0"/>
    <x v="0"/>
    <n v="2"/>
    <n v="0.32"/>
    <n v="0.30299999999999999"/>
    <n v="0.36"/>
    <n v="0.28360000000000002"/>
    <n v="29"/>
    <n v="54"/>
    <n v="83"/>
    <x v="0"/>
    <x v="1"/>
    <x v="1"/>
    <x v="1"/>
    <x v="2"/>
    <x v="1"/>
    <s v="Normal"/>
  </r>
  <r>
    <n v="343"/>
    <d v="2011-01-15T00:00:00"/>
    <n v="1"/>
    <n v="0"/>
    <n v="1"/>
    <x v="18"/>
    <x v="0"/>
    <x v="0"/>
    <n v="2"/>
    <n v="0.3"/>
    <n v="0.28789999999999999"/>
    <n v="0.45"/>
    <n v="0.25369999999999998"/>
    <n v="15"/>
    <n v="69"/>
    <n v="84"/>
    <x v="0"/>
    <x v="1"/>
    <x v="1"/>
    <x v="1"/>
    <x v="3"/>
    <x v="1"/>
    <s v="Normal"/>
  </r>
  <r>
    <n v="344"/>
    <d v="2011-01-15T00:00:00"/>
    <n v="1"/>
    <n v="0"/>
    <n v="1"/>
    <x v="19"/>
    <x v="0"/>
    <x v="0"/>
    <n v="2"/>
    <n v="0.32"/>
    <n v="0.30299999999999999"/>
    <n v="0.39"/>
    <n v="0.25369999999999998"/>
    <n v="14"/>
    <n v="60"/>
    <n v="74"/>
    <x v="0"/>
    <x v="1"/>
    <x v="1"/>
    <x v="1"/>
    <x v="3"/>
    <x v="1"/>
    <s v="Normal"/>
  </r>
  <r>
    <n v="345"/>
    <d v="2011-01-15T00:00:00"/>
    <n v="1"/>
    <n v="0"/>
    <n v="1"/>
    <x v="20"/>
    <x v="0"/>
    <x v="0"/>
    <n v="2"/>
    <n v="0.32"/>
    <n v="0.30299999999999999"/>
    <n v="0.39"/>
    <n v="0.25369999999999998"/>
    <n v="6"/>
    <n v="35"/>
    <n v="41"/>
    <x v="0"/>
    <x v="1"/>
    <x v="0"/>
    <x v="0"/>
    <x v="3"/>
    <x v="1"/>
    <s v="Normal"/>
  </r>
  <r>
    <n v="346"/>
    <d v="2011-01-15T00:00:00"/>
    <n v="1"/>
    <n v="0"/>
    <n v="1"/>
    <x v="21"/>
    <x v="0"/>
    <x v="0"/>
    <n v="2"/>
    <n v="0.32"/>
    <n v="0.30299999999999999"/>
    <n v="0.39"/>
    <n v="0.22389999999999999"/>
    <n v="6"/>
    <n v="51"/>
    <n v="57"/>
    <x v="0"/>
    <x v="1"/>
    <x v="0"/>
    <x v="1"/>
    <x v="3"/>
    <x v="1"/>
    <s v="Normal"/>
  </r>
  <r>
    <n v="347"/>
    <d v="2011-01-15T00:00:00"/>
    <n v="1"/>
    <n v="0"/>
    <n v="1"/>
    <x v="22"/>
    <x v="0"/>
    <x v="0"/>
    <n v="2"/>
    <n v="0.3"/>
    <n v="0.31819999999999998"/>
    <n v="0.42"/>
    <n v="0.1045"/>
    <n v="0"/>
    <n v="26"/>
    <n v="26"/>
    <x v="0"/>
    <x v="1"/>
    <x v="0"/>
    <x v="0"/>
    <x v="3"/>
    <x v="1"/>
    <s v="Normal"/>
  </r>
  <r>
    <n v="348"/>
    <d v="2011-01-15T00:00:00"/>
    <n v="1"/>
    <n v="0"/>
    <n v="1"/>
    <x v="23"/>
    <x v="0"/>
    <x v="0"/>
    <n v="1"/>
    <n v="0.3"/>
    <n v="0.28789999999999999"/>
    <n v="0.45"/>
    <n v="0.28360000000000002"/>
    <n v="5"/>
    <n v="39"/>
    <n v="44"/>
    <x v="0"/>
    <x v="0"/>
    <x v="0"/>
    <x v="0"/>
    <x v="3"/>
    <x v="1"/>
    <s v="Normal"/>
  </r>
  <r>
    <n v="349"/>
    <d v="2011-01-16T00:00:00"/>
    <n v="1"/>
    <n v="0"/>
    <n v="1"/>
    <x v="0"/>
    <x v="0"/>
    <x v="1"/>
    <n v="1"/>
    <n v="0.26"/>
    <n v="0.30299999999999999"/>
    <n v="0.56000000000000005"/>
    <n v="0"/>
    <n v="6"/>
    <n v="33"/>
    <n v="39"/>
    <x v="1"/>
    <x v="0"/>
    <x v="0"/>
    <x v="0"/>
    <x v="0"/>
    <x v="0"/>
    <s v="Normal"/>
  </r>
  <r>
    <n v="350"/>
    <d v="2011-01-16T00:00:00"/>
    <n v="1"/>
    <n v="0"/>
    <n v="1"/>
    <x v="1"/>
    <x v="0"/>
    <x v="1"/>
    <n v="1"/>
    <n v="0.26"/>
    <n v="0.2727"/>
    <n v="0.56000000000000005"/>
    <n v="0.1343"/>
    <n v="4"/>
    <n v="19"/>
    <n v="23"/>
    <x v="1"/>
    <x v="0"/>
    <x v="0"/>
    <x v="0"/>
    <x v="0"/>
    <x v="0"/>
    <s v="Normal"/>
  </r>
  <r>
    <n v="351"/>
    <d v="2011-01-16T00:00:00"/>
    <n v="1"/>
    <n v="0"/>
    <n v="1"/>
    <x v="2"/>
    <x v="0"/>
    <x v="1"/>
    <n v="1"/>
    <n v="0.26"/>
    <n v="0.28789999999999999"/>
    <n v="0.56000000000000005"/>
    <n v="8.9599999999999999E-2"/>
    <n v="3"/>
    <n v="13"/>
    <n v="16"/>
    <x v="1"/>
    <x v="0"/>
    <x v="0"/>
    <x v="0"/>
    <x v="0"/>
    <x v="0"/>
    <s v="Normal"/>
  </r>
  <r>
    <n v="352"/>
    <d v="2011-01-16T00:00:00"/>
    <n v="1"/>
    <n v="0"/>
    <n v="1"/>
    <x v="3"/>
    <x v="0"/>
    <x v="1"/>
    <n v="1"/>
    <n v="0.22"/>
    <n v="0.2727"/>
    <n v="0.69"/>
    <n v="0"/>
    <n v="9"/>
    <n v="6"/>
    <n v="15"/>
    <x v="1"/>
    <x v="0"/>
    <x v="0"/>
    <x v="0"/>
    <x v="0"/>
    <x v="0"/>
    <s v="Normal"/>
  </r>
  <r>
    <n v="353"/>
    <d v="2011-01-16T00:00:00"/>
    <n v="1"/>
    <n v="0"/>
    <n v="1"/>
    <x v="4"/>
    <x v="0"/>
    <x v="1"/>
    <n v="1"/>
    <n v="0.26"/>
    <n v="0.2576"/>
    <n v="0.56000000000000005"/>
    <n v="0.16420000000000001"/>
    <n v="0"/>
    <n v="1"/>
    <n v="1"/>
    <x v="1"/>
    <x v="0"/>
    <x v="0"/>
    <x v="0"/>
    <x v="0"/>
    <x v="0"/>
    <s v="Normal"/>
  </r>
  <r>
    <n v="354"/>
    <d v="2011-01-16T00:00:00"/>
    <n v="1"/>
    <n v="0"/>
    <n v="1"/>
    <x v="5"/>
    <x v="0"/>
    <x v="1"/>
    <n v="2"/>
    <n v="0.26"/>
    <n v="0.2576"/>
    <n v="0.56000000000000005"/>
    <n v="0.16420000000000001"/>
    <n v="1"/>
    <n v="1"/>
    <n v="2"/>
    <x v="1"/>
    <x v="1"/>
    <x v="0"/>
    <x v="0"/>
    <x v="0"/>
    <x v="0"/>
    <s v="Normal"/>
  </r>
  <r>
    <n v="355"/>
    <d v="2011-01-16T00:00:00"/>
    <n v="1"/>
    <n v="0"/>
    <n v="1"/>
    <x v="6"/>
    <x v="0"/>
    <x v="1"/>
    <n v="2"/>
    <n v="0.26"/>
    <n v="0.2576"/>
    <n v="0.56000000000000005"/>
    <n v="0.16420000000000001"/>
    <n v="0"/>
    <n v="1"/>
    <n v="1"/>
    <x v="1"/>
    <x v="1"/>
    <x v="0"/>
    <x v="0"/>
    <x v="1"/>
    <x v="0"/>
    <s v="Normal"/>
  </r>
  <r>
    <n v="356"/>
    <d v="2011-01-16T00:00:00"/>
    <n v="1"/>
    <n v="0"/>
    <n v="1"/>
    <x v="7"/>
    <x v="0"/>
    <x v="1"/>
    <n v="2"/>
    <n v="0.24"/>
    <n v="0.21210000000000001"/>
    <n v="0.56000000000000005"/>
    <n v="0.29849999999999999"/>
    <n v="0"/>
    <n v="3"/>
    <n v="3"/>
    <x v="1"/>
    <x v="1"/>
    <x v="1"/>
    <x v="0"/>
    <x v="1"/>
    <x v="0"/>
    <s v="Normal"/>
  </r>
  <r>
    <n v="357"/>
    <d v="2011-01-16T00:00:00"/>
    <n v="1"/>
    <n v="0"/>
    <n v="1"/>
    <x v="8"/>
    <x v="0"/>
    <x v="1"/>
    <n v="1"/>
    <n v="0.22"/>
    <n v="0.21210000000000001"/>
    <n v="0.55000000000000004"/>
    <n v="0.28360000000000002"/>
    <n v="0"/>
    <n v="18"/>
    <n v="18"/>
    <x v="1"/>
    <x v="0"/>
    <x v="1"/>
    <x v="0"/>
    <x v="1"/>
    <x v="0"/>
    <s v="Normal"/>
  </r>
  <r>
    <n v="358"/>
    <d v="2011-01-16T00:00:00"/>
    <n v="1"/>
    <n v="0"/>
    <n v="1"/>
    <x v="9"/>
    <x v="0"/>
    <x v="1"/>
    <n v="1"/>
    <n v="0.22"/>
    <n v="0.21210000000000001"/>
    <n v="0.51"/>
    <n v="0.25369999999999998"/>
    <n v="3"/>
    <n v="29"/>
    <n v="32"/>
    <x v="1"/>
    <x v="0"/>
    <x v="1"/>
    <x v="0"/>
    <x v="1"/>
    <x v="0"/>
    <s v="Normal"/>
  </r>
  <r>
    <n v="359"/>
    <d v="2011-01-16T00:00:00"/>
    <n v="1"/>
    <n v="0"/>
    <n v="1"/>
    <x v="10"/>
    <x v="0"/>
    <x v="1"/>
    <n v="1"/>
    <n v="0.22"/>
    <n v="0.21210000000000001"/>
    <n v="0.51"/>
    <n v="0.28360000000000002"/>
    <n v="8"/>
    <n v="71"/>
    <n v="79"/>
    <x v="1"/>
    <x v="0"/>
    <x v="0"/>
    <x v="1"/>
    <x v="1"/>
    <x v="0"/>
    <s v="Normal"/>
  </r>
  <r>
    <n v="360"/>
    <d v="2011-01-16T00:00:00"/>
    <n v="1"/>
    <n v="0"/>
    <n v="1"/>
    <x v="11"/>
    <x v="0"/>
    <x v="1"/>
    <n v="1"/>
    <n v="0.24"/>
    <n v="0.2273"/>
    <n v="0.44"/>
    <n v="0.25369999999999998"/>
    <n v="23"/>
    <n v="70"/>
    <n v="93"/>
    <x v="1"/>
    <x v="0"/>
    <x v="0"/>
    <x v="1"/>
    <x v="1"/>
    <x v="0"/>
    <s v="Normal"/>
  </r>
  <r>
    <n v="361"/>
    <d v="2011-01-16T00:00:00"/>
    <n v="1"/>
    <n v="0"/>
    <n v="1"/>
    <x v="12"/>
    <x v="0"/>
    <x v="1"/>
    <n v="1"/>
    <n v="0.24"/>
    <n v="0.21210000000000001"/>
    <n v="0.41"/>
    <n v="0.28360000000000002"/>
    <n v="29"/>
    <n v="75"/>
    <n v="104"/>
    <x v="1"/>
    <x v="0"/>
    <x v="0"/>
    <x v="1"/>
    <x v="2"/>
    <x v="0"/>
    <s v="Normal"/>
  </r>
  <r>
    <n v="362"/>
    <d v="2011-01-16T00:00:00"/>
    <n v="1"/>
    <n v="0"/>
    <n v="1"/>
    <x v="13"/>
    <x v="0"/>
    <x v="1"/>
    <n v="1"/>
    <n v="0.26"/>
    <n v="0.2273"/>
    <n v="0.35"/>
    <n v="0.29849999999999999"/>
    <n v="23"/>
    <n v="95"/>
    <n v="118"/>
    <x v="1"/>
    <x v="0"/>
    <x v="0"/>
    <x v="1"/>
    <x v="2"/>
    <x v="0"/>
    <s v="Normal"/>
  </r>
  <r>
    <n v="363"/>
    <d v="2011-01-16T00:00:00"/>
    <n v="1"/>
    <n v="0"/>
    <n v="1"/>
    <x v="14"/>
    <x v="0"/>
    <x v="1"/>
    <n v="1"/>
    <n v="0.28000000000000003"/>
    <n v="0.2727"/>
    <n v="0.36"/>
    <n v="0.25369999999999998"/>
    <n v="22"/>
    <n v="69"/>
    <n v="91"/>
    <x v="1"/>
    <x v="0"/>
    <x v="0"/>
    <x v="1"/>
    <x v="2"/>
    <x v="0"/>
    <s v="Normal"/>
  </r>
  <r>
    <n v="364"/>
    <d v="2011-01-16T00:00:00"/>
    <n v="1"/>
    <n v="0"/>
    <n v="1"/>
    <x v="15"/>
    <x v="0"/>
    <x v="1"/>
    <n v="1"/>
    <n v="0.26"/>
    <n v="0.2424"/>
    <n v="0.38"/>
    <n v="0.25369999999999998"/>
    <n v="35"/>
    <n v="78"/>
    <n v="113"/>
    <x v="1"/>
    <x v="0"/>
    <x v="0"/>
    <x v="1"/>
    <x v="2"/>
    <x v="0"/>
    <s v="Normal"/>
  </r>
  <r>
    <n v="365"/>
    <d v="2011-01-16T00:00:00"/>
    <n v="1"/>
    <n v="0"/>
    <n v="1"/>
    <x v="16"/>
    <x v="0"/>
    <x v="1"/>
    <n v="1"/>
    <n v="0.24"/>
    <n v="0.2273"/>
    <n v="0.38"/>
    <n v="0.22389999999999999"/>
    <n v="22"/>
    <n v="77"/>
    <n v="99"/>
    <x v="1"/>
    <x v="0"/>
    <x v="0"/>
    <x v="1"/>
    <x v="2"/>
    <x v="0"/>
    <s v="Normal"/>
  </r>
  <r>
    <n v="366"/>
    <d v="2011-01-16T00:00:00"/>
    <n v="1"/>
    <n v="0"/>
    <n v="1"/>
    <x v="17"/>
    <x v="0"/>
    <x v="1"/>
    <n v="1"/>
    <n v="0.22"/>
    <n v="0.21210000000000001"/>
    <n v="0.37"/>
    <n v="0.25369999999999998"/>
    <n v="23"/>
    <n v="82"/>
    <n v="105"/>
    <x v="1"/>
    <x v="0"/>
    <x v="1"/>
    <x v="1"/>
    <x v="2"/>
    <x v="0"/>
    <s v="Normal"/>
  </r>
  <r>
    <n v="367"/>
    <d v="2011-01-16T00:00:00"/>
    <n v="1"/>
    <n v="0"/>
    <n v="1"/>
    <x v="18"/>
    <x v="0"/>
    <x v="1"/>
    <n v="1"/>
    <n v="0.2"/>
    <n v="0.21210000000000001"/>
    <n v="0.4"/>
    <n v="0.16420000000000001"/>
    <n v="11"/>
    <n v="56"/>
    <n v="67"/>
    <x v="1"/>
    <x v="0"/>
    <x v="1"/>
    <x v="1"/>
    <x v="3"/>
    <x v="0"/>
    <s v="Normal"/>
  </r>
  <r>
    <n v="368"/>
    <d v="2011-01-16T00:00:00"/>
    <n v="1"/>
    <n v="0"/>
    <n v="1"/>
    <x v="19"/>
    <x v="0"/>
    <x v="1"/>
    <n v="1"/>
    <n v="0.18"/>
    <n v="0.19700000000000001"/>
    <n v="0.47"/>
    <n v="0.1343"/>
    <n v="14"/>
    <n v="47"/>
    <n v="61"/>
    <x v="1"/>
    <x v="0"/>
    <x v="1"/>
    <x v="1"/>
    <x v="3"/>
    <x v="3"/>
    <s v="Normal"/>
  </r>
  <r>
    <n v="369"/>
    <d v="2011-01-16T00:00:00"/>
    <n v="1"/>
    <n v="0"/>
    <n v="1"/>
    <x v="20"/>
    <x v="0"/>
    <x v="1"/>
    <n v="1"/>
    <n v="0.18"/>
    <n v="0.19700000000000001"/>
    <n v="0.47"/>
    <n v="0.16420000000000001"/>
    <n v="7"/>
    <n v="50"/>
    <n v="57"/>
    <x v="1"/>
    <x v="0"/>
    <x v="0"/>
    <x v="1"/>
    <x v="3"/>
    <x v="3"/>
    <s v="Normal"/>
  </r>
  <r>
    <n v="370"/>
    <d v="2011-01-16T00:00:00"/>
    <n v="1"/>
    <n v="0"/>
    <n v="1"/>
    <x v="21"/>
    <x v="0"/>
    <x v="1"/>
    <n v="1"/>
    <n v="0.18"/>
    <n v="0.19700000000000001"/>
    <n v="0.51"/>
    <n v="0.16420000000000001"/>
    <n v="6"/>
    <n v="22"/>
    <n v="28"/>
    <x v="1"/>
    <x v="0"/>
    <x v="0"/>
    <x v="0"/>
    <x v="3"/>
    <x v="3"/>
    <s v="Normal"/>
  </r>
  <r>
    <n v="371"/>
    <d v="2011-01-16T00:00:00"/>
    <n v="1"/>
    <n v="0"/>
    <n v="1"/>
    <x v="22"/>
    <x v="0"/>
    <x v="1"/>
    <n v="2"/>
    <n v="0.2"/>
    <n v="0.21210000000000001"/>
    <n v="0.49"/>
    <n v="0.1343"/>
    <n v="2"/>
    <n v="19"/>
    <n v="21"/>
    <x v="1"/>
    <x v="1"/>
    <x v="0"/>
    <x v="0"/>
    <x v="3"/>
    <x v="0"/>
    <s v="Normal"/>
  </r>
  <r>
    <n v="372"/>
    <d v="2011-01-16T00:00:00"/>
    <n v="1"/>
    <n v="0"/>
    <n v="1"/>
    <x v="23"/>
    <x v="0"/>
    <x v="1"/>
    <n v="2"/>
    <n v="0.2"/>
    <n v="0.2273"/>
    <n v="0.4"/>
    <n v="0.1045"/>
    <n v="0"/>
    <n v="18"/>
    <n v="18"/>
    <x v="1"/>
    <x v="1"/>
    <x v="0"/>
    <x v="0"/>
    <x v="3"/>
    <x v="0"/>
    <s v="Normal"/>
  </r>
  <r>
    <n v="373"/>
    <d v="2011-01-17T00:00:00"/>
    <n v="1"/>
    <n v="0"/>
    <n v="1"/>
    <x v="0"/>
    <x v="1"/>
    <x v="2"/>
    <n v="2"/>
    <n v="0.2"/>
    <n v="0.19700000000000001"/>
    <n v="0.47"/>
    <n v="0.22389999999999999"/>
    <n v="1"/>
    <n v="16"/>
    <n v="17"/>
    <x v="2"/>
    <x v="1"/>
    <x v="0"/>
    <x v="0"/>
    <x v="0"/>
    <x v="0"/>
    <s v="Normal"/>
  </r>
  <r>
    <n v="374"/>
    <d v="2011-01-17T00:00:00"/>
    <n v="1"/>
    <n v="0"/>
    <n v="1"/>
    <x v="1"/>
    <x v="1"/>
    <x v="2"/>
    <n v="2"/>
    <n v="0.2"/>
    <n v="0.19700000000000001"/>
    <n v="0.44"/>
    <n v="0.19400000000000001"/>
    <n v="1"/>
    <n v="15"/>
    <n v="16"/>
    <x v="2"/>
    <x v="1"/>
    <x v="0"/>
    <x v="0"/>
    <x v="0"/>
    <x v="0"/>
    <s v="Normal"/>
  </r>
  <r>
    <n v="375"/>
    <d v="2011-01-17T00:00:00"/>
    <n v="1"/>
    <n v="0"/>
    <n v="1"/>
    <x v="2"/>
    <x v="1"/>
    <x v="2"/>
    <n v="2"/>
    <n v="0.18"/>
    <n v="0.16669999999999999"/>
    <n v="0.43"/>
    <n v="0.25369999999999998"/>
    <n v="0"/>
    <n v="8"/>
    <n v="8"/>
    <x v="2"/>
    <x v="1"/>
    <x v="0"/>
    <x v="0"/>
    <x v="0"/>
    <x v="3"/>
    <s v="Normal"/>
  </r>
  <r>
    <n v="376"/>
    <d v="2011-01-17T00:00:00"/>
    <n v="1"/>
    <n v="0"/>
    <n v="1"/>
    <x v="3"/>
    <x v="1"/>
    <x v="2"/>
    <n v="2"/>
    <n v="0.18"/>
    <n v="0.18179999999999999"/>
    <n v="0.43"/>
    <n v="0.19400000000000001"/>
    <n v="0"/>
    <n v="2"/>
    <n v="2"/>
    <x v="2"/>
    <x v="1"/>
    <x v="0"/>
    <x v="0"/>
    <x v="0"/>
    <x v="3"/>
    <s v="Normal"/>
  </r>
  <r>
    <n v="377"/>
    <d v="2011-01-17T00:00:00"/>
    <n v="1"/>
    <n v="0"/>
    <n v="1"/>
    <x v="4"/>
    <x v="1"/>
    <x v="2"/>
    <n v="2"/>
    <n v="0.18"/>
    <n v="0.19700000000000001"/>
    <n v="0.43"/>
    <n v="0.1343"/>
    <n v="1"/>
    <n v="2"/>
    <n v="3"/>
    <x v="2"/>
    <x v="1"/>
    <x v="0"/>
    <x v="0"/>
    <x v="0"/>
    <x v="3"/>
    <s v="Normal"/>
  </r>
  <r>
    <n v="378"/>
    <d v="2011-01-17T00:00:00"/>
    <n v="1"/>
    <n v="0"/>
    <n v="1"/>
    <x v="5"/>
    <x v="1"/>
    <x v="2"/>
    <n v="2"/>
    <n v="0.18"/>
    <n v="0.19700000000000001"/>
    <n v="0.43"/>
    <n v="0.16420000000000001"/>
    <n v="0"/>
    <n v="1"/>
    <n v="1"/>
    <x v="2"/>
    <x v="1"/>
    <x v="0"/>
    <x v="0"/>
    <x v="0"/>
    <x v="3"/>
    <s v="Normal"/>
  </r>
  <r>
    <n v="379"/>
    <d v="2011-01-17T00:00:00"/>
    <n v="1"/>
    <n v="0"/>
    <n v="1"/>
    <x v="6"/>
    <x v="1"/>
    <x v="2"/>
    <n v="2"/>
    <n v="0.18"/>
    <n v="0.18179999999999999"/>
    <n v="0.43"/>
    <n v="0.19400000000000001"/>
    <n v="0"/>
    <n v="5"/>
    <n v="5"/>
    <x v="2"/>
    <x v="1"/>
    <x v="0"/>
    <x v="0"/>
    <x v="1"/>
    <x v="3"/>
    <s v="Normal"/>
  </r>
  <r>
    <n v="380"/>
    <d v="2011-01-17T00:00:00"/>
    <n v="1"/>
    <n v="0"/>
    <n v="1"/>
    <x v="7"/>
    <x v="1"/>
    <x v="2"/>
    <n v="2"/>
    <n v="0.16"/>
    <n v="0.18179999999999999"/>
    <n v="0.5"/>
    <n v="0.1343"/>
    <n v="4"/>
    <n v="9"/>
    <n v="13"/>
    <x v="2"/>
    <x v="1"/>
    <x v="1"/>
    <x v="0"/>
    <x v="1"/>
    <x v="3"/>
    <s v="Normal"/>
  </r>
  <r>
    <n v="381"/>
    <d v="2011-01-17T00:00:00"/>
    <n v="1"/>
    <n v="0"/>
    <n v="1"/>
    <x v="8"/>
    <x v="1"/>
    <x v="2"/>
    <n v="2"/>
    <n v="0.16"/>
    <n v="0.1515"/>
    <n v="0.47"/>
    <n v="0.22389999999999999"/>
    <n v="3"/>
    <n v="30"/>
    <n v="33"/>
    <x v="2"/>
    <x v="1"/>
    <x v="1"/>
    <x v="0"/>
    <x v="1"/>
    <x v="3"/>
    <s v="Normal"/>
  </r>
  <r>
    <n v="382"/>
    <d v="2011-01-17T00:00:00"/>
    <n v="1"/>
    <n v="0"/>
    <n v="1"/>
    <x v="9"/>
    <x v="1"/>
    <x v="2"/>
    <n v="2"/>
    <n v="0.16"/>
    <n v="0.1515"/>
    <n v="0.47"/>
    <n v="0.22389999999999999"/>
    <n v="8"/>
    <n v="39"/>
    <n v="47"/>
    <x v="2"/>
    <x v="1"/>
    <x v="1"/>
    <x v="0"/>
    <x v="1"/>
    <x v="3"/>
    <s v="Normal"/>
  </r>
  <r>
    <n v="383"/>
    <d v="2011-01-17T00:00:00"/>
    <n v="1"/>
    <n v="0"/>
    <n v="1"/>
    <x v="10"/>
    <x v="1"/>
    <x v="2"/>
    <n v="2"/>
    <n v="0.16"/>
    <n v="0.1515"/>
    <n v="0.5"/>
    <n v="0.25369999999999998"/>
    <n v="7"/>
    <n v="50"/>
    <n v="57"/>
    <x v="2"/>
    <x v="1"/>
    <x v="0"/>
    <x v="1"/>
    <x v="1"/>
    <x v="3"/>
    <s v="Normal"/>
  </r>
  <r>
    <n v="384"/>
    <d v="2011-01-17T00:00:00"/>
    <n v="1"/>
    <n v="0"/>
    <n v="1"/>
    <x v="11"/>
    <x v="1"/>
    <x v="2"/>
    <n v="2"/>
    <n v="0.16"/>
    <n v="0.1515"/>
    <n v="0.55000000000000004"/>
    <n v="0.19400000000000001"/>
    <n v="9"/>
    <n v="55"/>
    <n v="64"/>
    <x v="2"/>
    <x v="1"/>
    <x v="0"/>
    <x v="1"/>
    <x v="1"/>
    <x v="3"/>
    <s v="Normal"/>
  </r>
  <r>
    <n v="385"/>
    <d v="2011-01-17T00:00:00"/>
    <n v="1"/>
    <n v="0"/>
    <n v="1"/>
    <x v="12"/>
    <x v="1"/>
    <x v="2"/>
    <n v="2"/>
    <n v="0.18"/>
    <n v="0.19700000000000001"/>
    <n v="0.47"/>
    <n v="0.1343"/>
    <n v="10"/>
    <n v="70"/>
    <n v="80"/>
    <x v="2"/>
    <x v="1"/>
    <x v="0"/>
    <x v="1"/>
    <x v="2"/>
    <x v="3"/>
    <s v="Normal"/>
  </r>
  <r>
    <n v="386"/>
    <d v="2011-01-17T00:00:00"/>
    <n v="1"/>
    <n v="0"/>
    <n v="1"/>
    <x v="13"/>
    <x v="1"/>
    <x v="2"/>
    <n v="2"/>
    <n v="0.18"/>
    <n v="0.19700000000000001"/>
    <n v="0.47"/>
    <n v="0.1343"/>
    <n v="13"/>
    <n v="80"/>
    <n v="93"/>
    <x v="2"/>
    <x v="1"/>
    <x v="0"/>
    <x v="1"/>
    <x v="2"/>
    <x v="3"/>
    <s v="Normal"/>
  </r>
  <r>
    <n v="387"/>
    <d v="2011-01-17T00:00:00"/>
    <n v="1"/>
    <n v="0"/>
    <n v="1"/>
    <x v="14"/>
    <x v="1"/>
    <x v="2"/>
    <n v="2"/>
    <n v="0.18"/>
    <n v="0.21210000000000001"/>
    <n v="0.43"/>
    <n v="0.1045"/>
    <n v="12"/>
    <n v="74"/>
    <n v="86"/>
    <x v="2"/>
    <x v="1"/>
    <x v="0"/>
    <x v="1"/>
    <x v="2"/>
    <x v="3"/>
    <s v="Normal"/>
  </r>
  <r>
    <n v="388"/>
    <d v="2011-01-17T00:00:00"/>
    <n v="1"/>
    <n v="0"/>
    <n v="1"/>
    <x v="15"/>
    <x v="1"/>
    <x v="2"/>
    <n v="2"/>
    <n v="0.2"/>
    <n v="0.21210000000000001"/>
    <n v="0.47"/>
    <n v="0.16420000000000001"/>
    <n v="21"/>
    <n v="72"/>
    <n v="93"/>
    <x v="2"/>
    <x v="1"/>
    <x v="0"/>
    <x v="1"/>
    <x v="2"/>
    <x v="0"/>
    <s v="Normal"/>
  </r>
  <r>
    <n v="389"/>
    <d v="2011-01-17T00:00:00"/>
    <n v="1"/>
    <n v="0"/>
    <n v="1"/>
    <x v="16"/>
    <x v="1"/>
    <x v="2"/>
    <n v="2"/>
    <n v="0.2"/>
    <n v="0.21210000000000001"/>
    <n v="0.47"/>
    <n v="0.16420000000000001"/>
    <n v="6"/>
    <n v="76"/>
    <n v="82"/>
    <x v="2"/>
    <x v="1"/>
    <x v="0"/>
    <x v="1"/>
    <x v="2"/>
    <x v="0"/>
    <s v="Normal"/>
  </r>
  <r>
    <n v="390"/>
    <d v="2011-01-17T00:00:00"/>
    <n v="1"/>
    <n v="0"/>
    <n v="1"/>
    <x v="17"/>
    <x v="1"/>
    <x v="2"/>
    <n v="1"/>
    <n v="0.2"/>
    <n v="0.19700000000000001"/>
    <n v="0.51"/>
    <n v="0.19400000000000001"/>
    <n v="4"/>
    <n v="67"/>
    <n v="71"/>
    <x v="2"/>
    <x v="0"/>
    <x v="1"/>
    <x v="1"/>
    <x v="2"/>
    <x v="0"/>
    <s v="Normal"/>
  </r>
  <r>
    <n v="391"/>
    <d v="2011-01-17T00:00:00"/>
    <n v="1"/>
    <n v="0"/>
    <n v="1"/>
    <x v="18"/>
    <x v="1"/>
    <x v="2"/>
    <n v="2"/>
    <n v="0.18"/>
    <n v="0.16669999999999999"/>
    <n v="0.55000000000000004"/>
    <n v="0.25369999999999998"/>
    <n v="7"/>
    <n v="85"/>
    <n v="92"/>
    <x v="2"/>
    <x v="1"/>
    <x v="1"/>
    <x v="1"/>
    <x v="3"/>
    <x v="3"/>
    <s v="Normal"/>
  </r>
  <r>
    <n v="392"/>
    <d v="2011-01-17T00:00:00"/>
    <n v="1"/>
    <n v="0"/>
    <n v="1"/>
    <x v="19"/>
    <x v="1"/>
    <x v="2"/>
    <n v="3"/>
    <n v="0.18"/>
    <n v="0.18179999999999999"/>
    <n v="0.59"/>
    <n v="0.19400000000000001"/>
    <n v="2"/>
    <n v="58"/>
    <n v="60"/>
    <x v="2"/>
    <x v="2"/>
    <x v="1"/>
    <x v="1"/>
    <x v="3"/>
    <x v="3"/>
    <s v="Normal"/>
  </r>
  <r>
    <n v="393"/>
    <d v="2011-01-17T00:00:00"/>
    <n v="1"/>
    <n v="0"/>
    <n v="1"/>
    <x v="20"/>
    <x v="1"/>
    <x v="2"/>
    <n v="3"/>
    <n v="0.16"/>
    <n v="0.1515"/>
    <n v="0.8"/>
    <n v="0.19400000000000001"/>
    <n v="4"/>
    <n v="29"/>
    <n v="33"/>
    <x v="2"/>
    <x v="2"/>
    <x v="0"/>
    <x v="0"/>
    <x v="3"/>
    <x v="3"/>
    <s v="Normal"/>
  </r>
  <r>
    <n v="394"/>
    <d v="2011-01-17T00:00:00"/>
    <n v="1"/>
    <n v="0"/>
    <n v="1"/>
    <x v="21"/>
    <x v="1"/>
    <x v="2"/>
    <n v="3"/>
    <n v="0.16"/>
    <n v="0.1515"/>
    <n v="0.8"/>
    <n v="0.19400000000000001"/>
    <n v="3"/>
    <n v="24"/>
    <n v="27"/>
    <x v="2"/>
    <x v="2"/>
    <x v="0"/>
    <x v="0"/>
    <x v="3"/>
    <x v="3"/>
    <s v="Normal"/>
  </r>
  <r>
    <n v="395"/>
    <d v="2011-01-17T00:00:00"/>
    <n v="1"/>
    <n v="0"/>
    <n v="1"/>
    <x v="22"/>
    <x v="1"/>
    <x v="2"/>
    <n v="3"/>
    <n v="0.14000000000000001"/>
    <n v="0.1212"/>
    <n v="0.93"/>
    <n v="0.25369999999999998"/>
    <n v="0"/>
    <n v="13"/>
    <n v="13"/>
    <x v="2"/>
    <x v="2"/>
    <x v="0"/>
    <x v="0"/>
    <x v="3"/>
    <x v="3"/>
    <s v="Normal"/>
  </r>
  <r>
    <n v="396"/>
    <d v="2011-01-17T00:00:00"/>
    <n v="1"/>
    <n v="0"/>
    <n v="1"/>
    <x v="23"/>
    <x v="1"/>
    <x v="2"/>
    <n v="3"/>
    <n v="0.16"/>
    <n v="0.13639999999999999"/>
    <n v="0.86"/>
    <n v="0.28360000000000002"/>
    <n v="1"/>
    <n v="3"/>
    <n v="4"/>
    <x v="2"/>
    <x v="2"/>
    <x v="0"/>
    <x v="0"/>
    <x v="3"/>
    <x v="3"/>
    <s v="Normal"/>
  </r>
  <r>
    <n v="397"/>
    <d v="2011-01-18T00:00:00"/>
    <n v="1"/>
    <n v="0"/>
    <n v="1"/>
    <x v="12"/>
    <x v="0"/>
    <x v="3"/>
    <n v="2"/>
    <n v="0.2"/>
    <n v="0.18179999999999999"/>
    <n v="0.86"/>
    <n v="0.32840000000000003"/>
    <n v="0"/>
    <n v="3"/>
    <n v="3"/>
    <x v="3"/>
    <x v="1"/>
    <x v="0"/>
    <x v="0"/>
    <x v="2"/>
    <x v="0"/>
    <s v="Normal"/>
  </r>
  <r>
    <n v="398"/>
    <d v="2011-01-18T00:00:00"/>
    <n v="1"/>
    <n v="0"/>
    <n v="1"/>
    <x v="13"/>
    <x v="0"/>
    <x v="3"/>
    <n v="2"/>
    <n v="0.2"/>
    <n v="0.19700000000000001"/>
    <n v="0.86"/>
    <n v="0.22389999999999999"/>
    <n v="0"/>
    <n v="22"/>
    <n v="22"/>
    <x v="3"/>
    <x v="1"/>
    <x v="0"/>
    <x v="0"/>
    <x v="2"/>
    <x v="0"/>
    <s v="Normal"/>
  </r>
  <r>
    <n v="399"/>
    <d v="2011-01-18T00:00:00"/>
    <n v="1"/>
    <n v="0"/>
    <n v="1"/>
    <x v="14"/>
    <x v="0"/>
    <x v="3"/>
    <n v="2"/>
    <n v="0.22"/>
    <n v="0.2273"/>
    <n v="0.8"/>
    <n v="0.16420000000000001"/>
    <n v="2"/>
    <n v="26"/>
    <n v="28"/>
    <x v="3"/>
    <x v="1"/>
    <x v="0"/>
    <x v="0"/>
    <x v="2"/>
    <x v="0"/>
    <s v="Normal"/>
  </r>
  <r>
    <n v="400"/>
    <d v="2011-01-18T00:00:00"/>
    <n v="1"/>
    <n v="0"/>
    <n v="1"/>
    <x v="15"/>
    <x v="0"/>
    <x v="3"/>
    <n v="2"/>
    <n v="0.22"/>
    <n v="0.2273"/>
    <n v="0.87"/>
    <n v="0.16420000000000001"/>
    <n v="3"/>
    <n v="32"/>
    <n v="35"/>
    <x v="3"/>
    <x v="1"/>
    <x v="0"/>
    <x v="0"/>
    <x v="2"/>
    <x v="0"/>
    <s v="Normal"/>
  </r>
  <r>
    <n v="401"/>
    <d v="2011-01-18T00:00:00"/>
    <n v="1"/>
    <n v="0"/>
    <n v="1"/>
    <x v="16"/>
    <x v="0"/>
    <x v="3"/>
    <n v="2"/>
    <n v="0.22"/>
    <n v="0.2273"/>
    <n v="0.87"/>
    <n v="0.19400000000000001"/>
    <n v="0"/>
    <n v="61"/>
    <n v="61"/>
    <x v="3"/>
    <x v="1"/>
    <x v="0"/>
    <x v="1"/>
    <x v="2"/>
    <x v="0"/>
    <s v="Normal"/>
  </r>
  <r>
    <n v="402"/>
    <d v="2011-01-18T00:00:00"/>
    <n v="1"/>
    <n v="0"/>
    <n v="1"/>
    <x v="17"/>
    <x v="0"/>
    <x v="3"/>
    <n v="2"/>
    <n v="0.22"/>
    <n v="0.2273"/>
    <n v="0.82"/>
    <n v="0.19400000000000001"/>
    <n v="1"/>
    <n v="124"/>
    <n v="125"/>
    <x v="3"/>
    <x v="1"/>
    <x v="1"/>
    <x v="1"/>
    <x v="2"/>
    <x v="0"/>
    <s v="Normal"/>
  </r>
  <r>
    <n v="403"/>
    <d v="2011-01-18T00:00:00"/>
    <n v="1"/>
    <n v="0"/>
    <n v="1"/>
    <x v="18"/>
    <x v="0"/>
    <x v="3"/>
    <n v="2"/>
    <n v="0.22"/>
    <n v="0.2273"/>
    <n v="0.8"/>
    <n v="0.16420000000000001"/>
    <n v="1"/>
    <n v="132"/>
    <n v="133"/>
    <x v="3"/>
    <x v="1"/>
    <x v="1"/>
    <x v="1"/>
    <x v="3"/>
    <x v="0"/>
    <s v="Normal"/>
  </r>
  <r>
    <n v="404"/>
    <d v="2011-01-18T00:00:00"/>
    <n v="1"/>
    <n v="0"/>
    <n v="1"/>
    <x v="19"/>
    <x v="0"/>
    <x v="3"/>
    <n v="2"/>
    <n v="0.22"/>
    <n v="0.2273"/>
    <n v="0.8"/>
    <n v="0.1343"/>
    <n v="1"/>
    <n v="98"/>
    <n v="99"/>
    <x v="3"/>
    <x v="1"/>
    <x v="1"/>
    <x v="1"/>
    <x v="3"/>
    <x v="0"/>
    <s v="Normal"/>
  </r>
  <r>
    <n v="405"/>
    <d v="2011-01-18T00:00:00"/>
    <n v="1"/>
    <n v="0"/>
    <n v="1"/>
    <x v="20"/>
    <x v="0"/>
    <x v="3"/>
    <n v="2"/>
    <n v="0.22"/>
    <n v="0.2727"/>
    <n v="0.87"/>
    <n v="0"/>
    <n v="0"/>
    <n v="83"/>
    <n v="83"/>
    <x v="3"/>
    <x v="1"/>
    <x v="0"/>
    <x v="1"/>
    <x v="3"/>
    <x v="0"/>
    <s v="Normal"/>
  </r>
  <r>
    <n v="406"/>
    <d v="2011-01-18T00:00:00"/>
    <n v="1"/>
    <n v="0"/>
    <n v="1"/>
    <x v="21"/>
    <x v="0"/>
    <x v="3"/>
    <n v="2"/>
    <n v="0.22"/>
    <n v="0.2424"/>
    <n v="0.93"/>
    <n v="0.1045"/>
    <n v="0"/>
    <n v="41"/>
    <n v="41"/>
    <x v="3"/>
    <x v="1"/>
    <x v="0"/>
    <x v="0"/>
    <x v="3"/>
    <x v="0"/>
    <s v="Normal"/>
  </r>
  <r>
    <n v="407"/>
    <d v="2011-01-18T00:00:00"/>
    <n v="1"/>
    <n v="0"/>
    <n v="1"/>
    <x v="22"/>
    <x v="0"/>
    <x v="3"/>
    <n v="2"/>
    <n v="0.22"/>
    <n v="0.2576"/>
    <n v="0.93"/>
    <n v="8.9599999999999999E-2"/>
    <n v="0"/>
    <n v="33"/>
    <n v="33"/>
    <x v="3"/>
    <x v="1"/>
    <x v="0"/>
    <x v="0"/>
    <x v="3"/>
    <x v="0"/>
    <s v="Normal"/>
  </r>
  <r>
    <n v="408"/>
    <d v="2011-01-18T00:00:00"/>
    <n v="1"/>
    <n v="0"/>
    <n v="1"/>
    <x v="23"/>
    <x v="0"/>
    <x v="3"/>
    <n v="2"/>
    <n v="0.22"/>
    <n v="0.2727"/>
    <n v="0.93"/>
    <n v="0"/>
    <n v="1"/>
    <n v="19"/>
    <n v="20"/>
    <x v="3"/>
    <x v="1"/>
    <x v="0"/>
    <x v="0"/>
    <x v="3"/>
    <x v="0"/>
    <s v="Normal"/>
  </r>
  <r>
    <n v="409"/>
    <d v="2011-01-19T00:00:00"/>
    <n v="1"/>
    <n v="0"/>
    <n v="1"/>
    <x v="0"/>
    <x v="0"/>
    <x v="4"/>
    <n v="2"/>
    <n v="0.22"/>
    <n v="0.2727"/>
    <n v="0.93"/>
    <n v="0"/>
    <n v="0"/>
    <n v="3"/>
    <n v="3"/>
    <x v="4"/>
    <x v="1"/>
    <x v="0"/>
    <x v="0"/>
    <x v="0"/>
    <x v="0"/>
    <s v="Normal"/>
  </r>
  <r>
    <n v="410"/>
    <d v="2011-01-19T00:00:00"/>
    <n v="1"/>
    <n v="0"/>
    <n v="1"/>
    <x v="1"/>
    <x v="0"/>
    <x v="4"/>
    <n v="3"/>
    <n v="0.22"/>
    <n v="0.2273"/>
    <n v="0.93"/>
    <n v="0.1343"/>
    <n v="1"/>
    <n v="6"/>
    <n v="7"/>
    <x v="4"/>
    <x v="2"/>
    <x v="0"/>
    <x v="0"/>
    <x v="0"/>
    <x v="0"/>
    <s v="Normal"/>
  </r>
  <r>
    <n v="411"/>
    <d v="2011-01-19T00:00:00"/>
    <n v="1"/>
    <n v="0"/>
    <n v="1"/>
    <x v="2"/>
    <x v="0"/>
    <x v="4"/>
    <n v="3"/>
    <n v="0.22"/>
    <n v="0.2273"/>
    <n v="0.93"/>
    <n v="0.1343"/>
    <n v="0"/>
    <n v="3"/>
    <n v="3"/>
    <x v="4"/>
    <x v="2"/>
    <x v="0"/>
    <x v="0"/>
    <x v="0"/>
    <x v="0"/>
    <s v="Normal"/>
  </r>
  <r>
    <n v="412"/>
    <d v="2011-01-19T00:00:00"/>
    <n v="1"/>
    <n v="0"/>
    <n v="1"/>
    <x v="4"/>
    <x v="0"/>
    <x v="4"/>
    <n v="3"/>
    <n v="0.22"/>
    <n v="0.2273"/>
    <n v="0.93"/>
    <n v="0.1343"/>
    <n v="1"/>
    <n v="1"/>
    <n v="2"/>
    <x v="4"/>
    <x v="2"/>
    <x v="0"/>
    <x v="0"/>
    <x v="0"/>
    <x v="0"/>
    <s v="Normal"/>
  </r>
  <r>
    <n v="413"/>
    <d v="2011-01-19T00:00:00"/>
    <n v="1"/>
    <n v="0"/>
    <n v="1"/>
    <x v="5"/>
    <x v="0"/>
    <x v="4"/>
    <n v="2"/>
    <n v="0.22"/>
    <n v="0.2576"/>
    <n v="0.93"/>
    <n v="8.9599999999999999E-2"/>
    <n v="0"/>
    <n v="7"/>
    <n v="7"/>
    <x v="4"/>
    <x v="1"/>
    <x v="0"/>
    <x v="0"/>
    <x v="0"/>
    <x v="0"/>
    <s v="Normal"/>
  </r>
  <r>
    <n v="414"/>
    <d v="2011-01-19T00:00:00"/>
    <n v="1"/>
    <n v="0"/>
    <n v="1"/>
    <x v="6"/>
    <x v="0"/>
    <x v="4"/>
    <n v="2"/>
    <n v="0.22"/>
    <n v="0.2576"/>
    <n v="0.93"/>
    <n v="8.9599999999999999E-2"/>
    <n v="0"/>
    <n v="32"/>
    <n v="32"/>
    <x v="4"/>
    <x v="1"/>
    <x v="0"/>
    <x v="0"/>
    <x v="1"/>
    <x v="0"/>
    <s v="Normal"/>
  </r>
  <r>
    <n v="415"/>
    <d v="2011-01-19T00:00:00"/>
    <n v="1"/>
    <n v="0"/>
    <n v="1"/>
    <x v="7"/>
    <x v="0"/>
    <x v="4"/>
    <n v="2"/>
    <n v="0.24"/>
    <n v="0.2576"/>
    <n v="0.92"/>
    <n v="0.1045"/>
    <n v="1"/>
    <n v="89"/>
    <n v="90"/>
    <x v="4"/>
    <x v="1"/>
    <x v="1"/>
    <x v="1"/>
    <x v="1"/>
    <x v="0"/>
    <s v="Normal"/>
  </r>
  <r>
    <n v="416"/>
    <d v="2011-01-19T00:00:00"/>
    <n v="1"/>
    <n v="0"/>
    <n v="1"/>
    <x v="8"/>
    <x v="0"/>
    <x v="4"/>
    <n v="2"/>
    <n v="0.24"/>
    <n v="0.2576"/>
    <n v="0.93"/>
    <n v="0.1045"/>
    <n v="1"/>
    <n v="196"/>
    <n v="197"/>
    <x v="4"/>
    <x v="1"/>
    <x v="1"/>
    <x v="2"/>
    <x v="1"/>
    <x v="0"/>
    <s v="⬆ Spike"/>
  </r>
  <r>
    <n v="417"/>
    <d v="2011-01-19T00:00:00"/>
    <n v="1"/>
    <n v="0"/>
    <n v="1"/>
    <x v="9"/>
    <x v="0"/>
    <x v="4"/>
    <n v="2"/>
    <n v="0.24"/>
    <n v="0.2576"/>
    <n v="0.93"/>
    <n v="0.1045"/>
    <n v="2"/>
    <n v="107"/>
    <n v="109"/>
    <x v="4"/>
    <x v="1"/>
    <x v="1"/>
    <x v="1"/>
    <x v="1"/>
    <x v="0"/>
    <s v="Normal"/>
  </r>
  <r>
    <n v="418"/>
    <d v="2011-01-19T00:00:00"/>
    <n v="1"/>
    <n v="0"/>
    <n v="1"/>
    <x v="10"/>
    <x v="0"/>
    <x v="4"/>
    <n v="2"/>
    <n v="0.26"/>
    <n v="0.2727"/>
    <n v="0.93"/>
    <n v="0.1343"/>
    <n v="1"/>
    <n v="46"/>
    <n v="47"/>
    <x v="4"/>
    <x v="1"/>
    <x v="0"/>
    <x v="0"/>
    <x v="1"/>
    <x v="0"/>
    <s v="Normal"/>
  </r>
  <r>
    <n v="419"/>
    <d v="2011-01-19T00:00:00"/>
    <n v="1"/>
    <n v="0"/>
    <n v="1"/>
    <x v="11"/>
    <x v="0"/>
    <x v="4"/>
    <n v="2"/>
    <n v="0.28000000000000003"/>
    <n v="0.30299999999999999"/>
    <n v="0.87"/>
    <n v="8.9599999999999999E-2"/>
    <n v="5"/>
    <n v="47"/>
    <n v="52"/>
    <x v="4"/>
    <x v="1"/>
    <x v="0"/>
    <x v="1"/>
    <x v="1"/>
    <x v="0"/>
    <s v="Normal"/>
  </r>
  <r>
    <n v="420"/>
    <d v="2011-01-19T00:00:00"/>
    <n v="1"/>
    <n v="0"/>
    <n v="1"/>
    <x v="12"/>
    <x v="0"/>
    <x v="4"/>
    <n v="2"/>
    <n v="0.3"/>
    <n v="0.31819999999999998"/>
    <n v="0.81"/>
    <n v="8.9599999999999999E-2"/>
    <n v="5"/>
    <n v="65"/>
    <n v="70"/>
    <x v="4"/>
    <x v="1"/>
    <x v="0"/>
    <x v="1"/>
    <x v="2"/>
    <x v="1"/>
    <s v="Normal"/>
  </r>
  <r>
    <n v="421"/>
    <d v="2011-01-19T00:00:00"/>
    <n v="1"/>
    <n v="0"/>
    <n v="1"/>
    <x v="13"/>
    <x v="0"/>
    <x v="4"/>
    <n v="1"/>
    <n v="0.4"/>
    <n v="0.40910000000000002"/>
    <n v="0.62"/>
    <n v="0.28360000000000002"/>
    <n v="11"/>
    <n v="67"/>
    <n v="78"/>
    <x v="4"/>
    <x v="0"/>
    <x v="0"/>
    <x v="1"/>
    <x v="2"/>
    <x v="2"/>
    <s v="Normal"/>
  </r>
  <r>
    <n v="422"/>
    <d v="2011-01-19T00:00:00"/>
    <n v="1"/>
    <n v="0"/>
    <n v="1"/>
    <x v="14"/>
    <x v="0"/>
    <x v="4"/>
    <n v="1"/>
    <n v="0.4"/>
    <n v="0.40910000000000002"/>
    <n v="0.57999999999999996"/>
    <n v="0.25369999999999998"/>
    <n v="7"/>
    <n v="68"/>
    <n v="75"/>
    <x v="4"/>
    <x v="0"/>
    <x v="0"/>
    <x v="1"/>
    <x v="2"/>
    <x v="2"/>
    <s v="Normal"/>
  </r>
  <r>
    <n v="423"/>
    <d v="2011-01-19T00:00:00"/>
    <n v="1"/>
    <n v="0"/>
    <n v="1"/>
    <x v="15"/>
    <x v="0"/>
    <x v="4"/>
    <n v="1"/>
    <n v="0.4"/>
    <n v="0.40910000000000002"/>
    <n v="0.54"/>
    <n v="0.28360000000000002"/>
    <n v="4"/>
    <n v="78"/>
    <n v="82"/>
    <x v="4"/>
    <x v="0"/>
    <x v="0"/>
    <x v="1"/>
    <x v="2"/>
    <x v="2"/>
    <s v="Normal"/>
  </r>
  <r>
    <n v="424"/>
    <d v="2011-01-19T00:00:00"/>
    <n v="1"/>
    <n v="0"/>
    <n v="1"/>
    <x v="16"/>
    <x v="0"/>
    <x v="4"/>
    <n v="1"/>
    <n v="0.38"/>
    <n v="0.39389999999999997"/>
    <n v="0.57999999999999996"/>
    <n v="0.3881"/>
    <n v="10"/>
    <n v="94"/>
    <n v="104"/>
    <x v="4"/>
    <x v="0"/>
    <x v="0"/>
    <x v="1"/>
    <x v="2"/>
    <x v="1"/>
    <s v="Normal"/>
  </r>
  <r>
    <n v="425"/>
    <d v="2011-01-19T00:00:00"/>
    <n v="1"/>
    <n v="0"/>
    <n v="1"/>
    <x v="17"/>
    <x v="0"/>
    <x v="4"/>
    <n v="1"/>
    <n v="0.36"/>
    <n v="0.33329999999999999"/>
    <n v="0.56999999999999995"/>
    <n v="0.32840000000000003"/>
    <n v="7"/>
    <n v="190"/>
    <n v="197"/>
    <x v="4"/>
    <x v="0"/>
    <x v="1"/>
    <x v="2"/>
    <x v="2"/>
    <x v="1"/>
    <s v="⬆ Spike"/>
  </r>
  <r>
    <n v="426"/>
    <d v="2011-01-19T00:00:00"/>
    <n v="1"/>
    <n v="0"/>
    <n v="1"/>
    <x v="18"/>
    <x v="0"/>
    <x v="4"/>
    <n v="1"/>
    <n v="0.34"/>
    <n v="0.31819999999999998"/>
    <n v="0.61"/>
    <n v="0.28360000000000002"/>
    <n v="5"/>
    <n v="156"/>
    <n v="161"/>
    <x v="4"/>
    <x v="0"/>
    <x v="1"/>
    <x v="2"/>
    <x v="3"/>
    <x v="1"/>
    <s v="⬆ Spike"/>
  </r>
  <r>
    <n v="427"/>
    <d v="2011-01-19T00:00:00"/>
    <n v="1"/>
    <n v="0"/>
    <n v="1"/>
    <x v="19"/>
    <x v="0"/>
    <x v="4"/>
    <n v="1"/>
    <n v="0.32"/>
    <n v="0.28789999999999999"/>
    <n v="0.56999999999999995"/>
    <n v="0.41789999999999999"/>
    <n v="4"/>
    <n v="108"/>
    <n v="112"/>
    <x v="4"/>
    <x v="0"/>
    <x v="1"/>
    <x v="1"/>
    <x v="3"/>
    <x v="1"/>
    <s v="Normal"/>
  </r>
  <r>
    <n v="428"/>
    <d v="2011-01-19T00:00:00"/>
    <n v="1"/>
    <n v="0"/>
    <n v="1"/>
    <x v="20"/>
    <x v="0"/>
    <x v="4"/>
    <n v="1"/>
    <n v="0.32"/>
    <n v="0.30299999999999999"/>
    <n v="0.49"/>
    <n v="0.29849999999999999"/>
    <n v="2"/>
    <n v="74"/>
    <n v="76"/>
    <x v="4"/>
    <x v="0"/>
    <x v="0"/>
    <x v="1"/>
    <x v="3"/>
    <x v="1"/>
    <s v="Normal"/>
  </r>
  <r>
    <n v="429"/>
    <d v="2011-01-19T00:00:00"/>
    <n v="1"/>
    <n v="0"/>
    <n v="1"/>
    <x v="21"/>
    <x v="0"/>
    <x v="4"/>
    <n v="1"/>
    <n v="0.32"/>
    <n v="0.28789999999999999"/>
    <n v="0.49"/>
    <n v="0.41789999999999999"/>
    <n v="4"/>
    <n v="55"/>
    <n v="59"/>
    <x v="4"/>
    <x v="0"/>
    <x v="0"/>
    <x v="1"/>
    <x v="3"/>
    <x v="1"/>
    <s v="Normal"/>
  </r>
  <r>
    <n v="430"/>
    <d v="2011-01-19T00:00:00"/>
    <n v="1"/>
    <n v="0"/>
    <n v="1"/>
    <x v="22"/>
    <x v="0"/>
    <x v="4"/>
    <n v="1"/>
    <n v="0.3"/>
    <n v="0.30299999999999999"/>
    <n v="0.52"/>
    <n v="0.16420000000000001"/>
    <n v="6"/>
    <n v="53"/>
    <n v="59"/>
    <x v="4"/>
    <x v="0"/>
    <x v="0"/>
    <x v="1"/>
    <x v="3"/>
    <x v="1"/>
    <s v="Normal"/>
  </r>
  <r>
    <n v="431"/>
    <d v="2011-01-19T00:00:00"/>
    <n v="1"/>
    <n v="0"/>
    <n v="1"/>
    <x v="23"/>
    <x v="0"/>
    <x v="4"/>
    <n v="1"/>
    <n v="0.3"/>
    <n v="0.2727"/>
    <n v="0.52"/>
    <n v="0.4627"/>
    <n v="1"/>
    <n v="27"/>
    <n v="28"/>
    <x v="4"/>
    <x v="0"/>
    <x v="0"/>
    <x v="0"/>
    <x v="3"/>
    <x v="1"/>
    <s v="Normal"/>
  </r>
  <r>
    <n v="432"/>
    <d v="2011-01-20T00:00:00"/>
    <n v="1"/>
    <n v="0"/>
    <n v="1"/>
    <x v="0"/>
    <x v="0"/>
    <x v="5"/>
    <n v="1"/>
    <n v="0.26"/>
    <n v="0.2273"/>
    <n v="0.56000000000000005"/>
    <n v="0.3881"/>
    <n v="5"/>
    <n v="8"/>
    <n v="13"/>
    <x v="5"/>
    <x v="0"/>
    <x v="0"/>
    <x v="0"/>
    <x v="0"/>
    <x v="0"/>
    <s v="Normal"/>
  </r>
  <r>
    <n v="433"/>
    <d v="2011-01-20T00:00:00"/>
    <n v="1"/>
    <n v="0"/>
    <n v="1"/>
    <x v="1"/>
    <x v="0"/>
    <x v="5"/>
    <n v="1"/>
    <n v="0.26"/>
    <n v="0.2727"/>
    <n v="0.56000000000000005"/>
    <n v="0"/>
    <n v="2"/>
    <n v="3"/>
    <n v="5"/>
    <x v="5"/>
    <x v="0"/>
    <x v="0"/>
    <x v="0"/>
    <x v="0"/>
    <x v="0"/>
    <s v="Normal"/>
  </r>
  <r>
    <n v="434"/>
    <d v="2011-01-20T00:00:00"/>
    <n v="1"/>
    <n v="0"/>
    <n v="1"/>
    <x v="2"/>
    <x v="0"/>
    <x v="5"/>
    <n v="1"/>
    <n v="0.26"/>
    <n v="0.2727"/>
    <n v="0.56000000000000005"/>
    <n v="0"/>
    <n v="0"/>
    <n v="2"/>
    <n v="2"/>
    <x v="5"/>
    <x v="0"/>
    <x v="0"/>
    <x v="0"/>
    <x v="0"/>
    <x v="0"/>
    <s v="Normal"/>
  </r>
  <r>
    <n v="435"/>
    <d v="2011-01-20T00:00:00"/>
    <n v="1"/>
    <n v="0"/>
    <n v="1"/>
    <x v="3"/>
    <x v="0"/>
    <x v="5"/>
    <n v="1"/>
    <n v="0.26"/>
    <n v="0.2576"/>
    <n v="0.56000000000000005"/>
    <n v="0.16420000000000001"/>
    <n v="0"/>
    <n v="1"/>
    <n v="1"/>
    <x v="5"/>
    <x v="0"/>
    <x v="0"/>
    <x v="0"/>
    <x v="0"/>
    <x v="0"/>
    <s v="Normal"/>
  </r>
  <r>
    <n v="436"/>
    <d v="2011-01-20T00:00:00"/>
    <n v="1"/>
    <n v="0"/>
    <n v="1"/>
    <x v="4"/>
    <x v="0"/>
    <x v="5"/>
    <n v="1"/>
    <n v="0.26"/>
    <n v="0.2576"/>
    <n v="0.56000000000000005"/>
    <n v="0.16420000000000001"/>
    <n v="0"/>
    <n v="1"/>
    <n v="1"/>
    <x v="5"/>
    <x v="0"/>
    <x v="0"/>
    <x v="0"/>
    <x v="0"/>
    <x v="0"/>
    <s v="Normal"/>
  </r>
  <r>
    <n v="437"/>
    <d v="2011-01-20T00:00:00"/>
    <n v="1"/>
    <n v="0"/>
    <n v="1"/>
    <x v="5"/>
    <x v="0"/>
    <x v="5"/>
    <n v="1"/>
    <n v="0.24"/>
    <n v="0.2273"/>
    <n v="0.6"/>
    <n v="0.22389999999999999"/>
    <n v="0"/>
    <n v="6"/>
    <n v="6"/>
    <x v="5"/>
    <x v="0"/>
    <x v="0"/>
    <x v="0"/>
    <x v="0"/>
    <x v="0"/>
    <s v="Normal"/>
  </r>
  <r>
    <n v="438"/>
    <d v="2011-01-20T00:00:00"/>
    <n v="1"/>
    <n v="0"/>
    <n v="1"/>
    <x v="6"/>
    <x v="0"/>
    <x v="5"/>
    <n v="1"/>
    <n v="0.22"/>
    <n v="0.21210000000000001"/>
    <n v="0.6"/>
    <n v="0.22389999999999999"/>
    <n v="0"/>
    <n v="35"/>
    <n v="35"/>
    <x v="5"/>
    <x v="0"/>
    <x v="0"/>
    <x v="0"/>
    <x v="1"/>
    <x v="0"/>
    <s v="Normal"/>
  </r>
  <r>
    <n v="439"/>
    <d v="2011-01-20T00:00:00"/>
    <n v="1"/>
    <n v="0"/>
    <n v="1"/>
    <x v="7"/>
    <x v="0"/>
    <x v="5"/>
    <n v="1"/>
    <n v="0.22"/>
    <n v="0.21210000000000001"/>
    <n v="0.55000000000000004"/>
    <n v="0.22389999999999999"/>
    <n v="1"/>
    <n v="100"/>
    <n v="101"/>
    <x v="5"/>
    <x v="0"/>
    <x v="1"/>
    <x v="1"/>
    <x v="1"/>
    <x v="0"/>
    <s v="Normal"/>
  </r>
  <r>
    <n v="440"/>
    <d v="2011-01-20T00:00:00"/>
    <n v="1"/>
    <n v="0"/>
    <n v="1"/>
    <x v="8"/>
    <x v="0"/>
    <x v="5"/>
    <n v="1"/>
    <n v="0.22"/>
    <n v="0.21210000000000001"/>
    <n v="0.55000000000000004"/>
    <n v="0.28360000000000002"/>
    <n v="2"/>
    <n v="247"/>
    <n v="249"/>
    <x v="5"/>
    <x v="0"/>
    <x v="1"/>
    <x v="2"/>
    <x v="1"/>
    <x v="0"/>
    <s v="⬆ Spike"/>
  </r>
  <r>
    <n v="441"/>
    <d v="2011-01-20T00:00:00"/>
    <n v="1"/>
    <n v="0"/>
    <n v="1"/>
    <x v="9"/>
    <x v="0"/>
    <x v="5"/>
    <n v="2"/>
    <n v="0.24"/>
    <n v="0.2273"/>
    <n v="0.52"/>
    <n v="0.22389999999999999"/>
    <n v="3"/>
    <n v="140"/>
    <n v="143"/>
    <x v="5"/>
    <x v="1"/>
    <x v="1"/>
    <x v="1"/>
    <x v="1"/>
    <x v="0"/>
    <s v="Normal"/>
  </r>
  <r>
    <n v="442"/>
    <d v="2011-01-20T00:00:00"/>
    <n v="1"/>
    <n v="0"/>
    <n v="1"/>
    <x v="10"/>
    <x v="0"/>
    <x v="5"/>
    <n v="1"/>
    <n v="0.26"/>
    <n v="0.2273"/>
    <n v="0.48"/>
    <n v="0.29849999999999999"/>
    <n v="1"/>
    <n v="56"/>
    <n v="57"/>
    <x v="5"/>
    <x v="0"/>
    <x v="0"/>
    <x v="1"/>
    <x v="1"/>
    <x v="0"/>
    <s v="Normal"/>
  </r>
  <r>
    <n v="443"/>
    <d v="2011-01-20T00:00:00"/>
    <n v="1"/>
    <n v="0"/>
    <n v="1"/>
    <x v="11"/>
    <x v="0"/>
    <x v="5"/>
    <n v="2"/>
    <n v="0.28000000000000003"/>
    <n v="0.2727"/>
    <n v="0.45"/>
    <n v="0.16420000000000001"/>
    <n v="5"/>
    <n v="63"/>
    <n v="68"/>
    <x v="5"/>
    <x v="1"/>
    <x v="0"/>
    <x v="1"/>
    <x v="1"/>
    <x v="0"/>
    <s v="Normal"/>
  </r>
  <r>
    <n v="444"/>
    <d v="2011-01-20T00:00:00"/>
    <n v="1"/>
    <n v="0"/>
    <n v="1"/>
    <x v="12"/>
    <x v="0"/>
    <x v="5"/>
    <n v="2"/>
    <n v="0.3"/>
    <n v="0.33329999999999999"/>
    <n v="0.42"/>
    <n v="0"/>
    <n v="7"/>
    <n v="77"/>
    <n v="84"/>
    <x v="5"/>
    <x v="1"/>
    <x v="0"/>
    <x v="1"/>
    <x v="2"/>
    <x v="1"/>
    <s v="Normal"/>
  </r>
  <r>
    <n v="445"/>
    <d v="2011-01-20T00:00:00"/>
    <n v="1"/>
    <n v="0"/>
    <n v="1"/>
    <x v="13"/>
    <x v="0"/>
    <x v="5"/>
    <n v="2"/>
    <n v="0.28000000000000003"/>
    <n v="0.28789999999999999"/>
    <n v="0.45"/>
    <n v="0.1045"/>
    <n v="12"/>
    <n v="86"/>
    <n v="98"/>
    <x v="5"/>
    <x v="1"/>
    <x v="0"/>
    <x v="1"/>
    <x v="2"/>
    <x v="0"/>
    <s v="Normal"/>
  </r>
  <r>
    <n v="446"/>
    <d v="2011-01-20T00:00:00"/>
    <n v="1"/>
    <n v="0"/>
    <n v="1"/>
    <x v="14"/>
    <x v="0"/>
    <x v="5"/>
    <n v="2"/>
    <n v="0.3"/>
    <n v="0.30299999999999999"/>
    <n v="0.45"/>
    <n v="0.1343"/>
    <n v="6"/>
    <n v="75"/>
    <n v="81"/>
    <x v="5"/>
    <x v="1"/>
    <x v="0"/>
    <x v="1"/>
    <x v="2"/>
    <x v="1"/>
    <s v="Normal"/>
  </r>
  <r>
    <n v="447"/>
    <d v="2011-01-20T00:00:00"/>
    <n v="1"/>
    <n v="0"/>
    <n v="1"/>
    <x v="15"/>
    <x v="0"/>
    <x v="5"/>
    <n v="2"/>
    <n v="0.32"/>
    <n v="0.31819999999999998"/>
    <n v="0.45"/>
    <n v="0.19400000000000001"/>
    <n v="8"/>
    <n v="62"/>
    <n v="70"/>
    <x v="5"/>
    <x v="1"/>
    <x v="0"/>
    <x v="1"/>
    <x v="2"/>
    <x v="1"/>
    <s v="Normal"/>
  </r>
  <r>
    <n v="448"/>
    <d v="2011-01-20T00:00:00"/>
    <n v="1"/>
    <n v="0"/>
    <n v="1"/>
    <x v="16"/>
    <x v="0"/>
    <x v="5"/>
    <n v="2"/>
    <n v="0.3"/>
    <n v="0.30299999999999999"/>
    <n v="0.49"/>
    <n v="0.1343"/>
    <n v="8"/>
    <n v="83"/>
    <n v="91"/>
    <x v="5"/>
    <x v="1"/>
    <x v="0"/>
    <x v="1"/>
    <x v="2"/>
    <x v="1"/>
    <s v="Normal"/>
  </r>
  <r>
    <n v="449"/>
    <d v="2011-01-20T00:00:00"/>
    <n v="1"/>
    <n v="0"/>
    <n v="1"/>
    <x v="17"/>
    <x v="0"/>
    <x v="5"/>
    <n v="2"/>
    <n v="0.3"/>
    <n v="0.31819999999999998"/>
    <n v="0.49"/>
    <n v="0.1045"/>
    <n v="8"/>
    <n v="207"/>
    <n v="215"/>
    <x v="5"/>
    <x v="1"/>
    <x v="1"/>
    <x v="2"/>
    <x v="2"/>
    <x v="1"/>
    <s v="⬆ Spike"/>
  </r>
  <r>
    <n v="450"/>
    <d v="2011-01-20T00:00:00"/>
    <n v="1"/>
    <n v="0"/>
    <n v="1"/>
    <x v="18"/>
    <x v="0"/>
    <x v="5"/>
    <n v="2"/>
    <n v="0.26"/>
    <n v="0.2576"/>
    <n v="0.56000000000000005"/>
    <n v="0.19400000000000001"/>
    <n v="1"/>
    <n v="184"/>
    <n v="185"/>
    <x v="5"/>
    <x v="1"/>
    <x v="1"/>
    <x v="2"/>
    <x v="3"/>
    <x v="0"/>
    <s v="⬆ Spike"/>
  </r>
  <r>
    <n v="451"/>
    <d v="2011-01-20T00:00:00"/>
    <n v="1"/>
    <n v="0"/>
    <n v="1"/>
    <x v="19"/>
    <x v="0"/>
    <x v="5"/>
    <n v="1"/>
    <n v="0.26"/>
    <n v="0.2273"/>
    <n v="0.56000000000000005"/>
    <n v="0.32840000000000003"/>
    <n v="6"/>
    <n v="146"/>
    <n v="152"/>
    <x v="5"/>
    <x v="0"/>
    <x v="1"/>
    <x v="2"/>
    <x v="3"/>
    <x v="0"/>
    <s v="Normal"/>
  </r>
  <r>
    <n v="452"/>
    <d v="2011-01-20T00:00:00"/>
    <n v="1"/>
    <n v="0"/>
    <n v="1"/>
    <x v="20"/>
    <x v="0"/>
    <x v="5"/>
    <n v="2"/>
    <n v="0.26"/>
    <n v="0.2424"/>
    <n v="0.6"/>
    <n v="0.28360000000000002"/>
    <n v="2"/>
    <n v="124"/>
    <n v="126"/>
    <x v="5"/>
    <x v="1"/>
    <x v="0"/>
    <x v="1"/>
    <x v="3"/>
    <x v="0"/>
    <s v="Normal"/>
  </r>
  <r>
    <n v="453"/>
    <d v="2011-01-20T00:00:00"/>
    <n v="1"/>
    <n v="0"/>
    <n v="1"/>
    <x v="21"/>
    <x v="0"/>
    <x v="5"/>
    <n v="2"/>
    <n v="0.24"/>
    <n v="0.2273"/>
    <n v="0.6"/>
    <n v="0.25369999999999998"/>
    <n v="3"/>
    <n v="54"/>
    <n v="57"/>
    <x v="5"/>
    <x v="1"/>
    <x v="0"/>
    <x v="1"/>
    <x v="3"/>
    <x v="0"/>
    <s v="Normal"/>
  </r>
  <r>
    <n v="454"/>
    <d v="2011-01-20T00:00:00"/>
    <n v="1"/>
    <n v="0"/>
    <n v="1"/>
    <x v="22"/>
    <x v="0"/>
    <x v="5"/>
    <n v="2"/>
    <n v="0.24"/>
    <n v="0.21210000000000001"/>
    <n v="0.65"/>
    <n v="0.28360000000000002"/>
    <n v="0"/>
    <n v="56"/>
    <n v="56"/>
    <x v="5"/>
    <x v="1"/>
    <x v="0"/>
    <x v="1"/>
    <x v="3"/>
    <x v="0"/>
    <s v="Normal"/>
  </r>
  <r>
    <n v="455"/>
    <d v="2011-01-20T00:00:00"/>
    <n v="1"/>
    <n v="0"/>
    <n v="1"/>
    <x v="23"/>
    <x v="0"/>
    <x v="5"/>
    <n v="2"/>
    <n v="0.24"/>
    <n v="0.21210000000000001"/>
    <n v="0.65"/>
    <n v="0.32840000000000003"/>
    <n v="3"/>
    <n v="28"/>
    <n v="31"/>
    <x v="5"/>
    <x v="1"/>
    <x v="0"/>
    <x v="0"/>
    <x v="3"/>
    <x v="0"/>
    <s v="Normal"/>
  </r>
  <r>
    <n v="456"/>
    <d v="2011-01-21T00:00:00"/>
    <n v="1"/>
    <n v="0"/>
    <n v="1"/>
    <x v="0"/>
    <x v="0"/>
    <x v="6"/>
    <n v="2"/>
    <n v="0.24"/>
    <n v="0.2273"/>
    <n v="0.7"/>
    <n v="0.25369999999999998"/>
    <n v="1"/>
    <n v="20"/>
    <n v="21"/>
    <x v="6"/>
    <x v="1"/>
    <x v="0"/>
    <x v="0"/>
    <x v="0"/>
    <x v="0"/>
    <s v="Normal"/>
  </r>
  <r>
    <n v="457"/>
    <d v="2011-01-21T00:00:00"/>
    <n v="1"/>
    <n v="0"/>
    <n v="1"/>
    <x v="1"/>
    <x v="0"/>
    <x v="6"/>
    <n v="2"/>
    <n v="0.24"/>
    <n v="0.2273"/>
    <n v="0.7"/>
    <n v="0.25369999999999998"/>
    <n v="0"/>
    <n v="6"/>
    <n v="6"/>
    <x v="6"/>
    <x v="1"/>
    <x v="0"/>
    <x v="0"/>
    <x v="0"/>
    <x v="0"/>
    <s v="Normal"/>
  </r>
  <r>
    <n v="458"/>
    <d v="2011-01-21T00:00:00"/>
    <n v="1"/>
    <n v="0"/>
    <n v="1"/>
    <x v="2"/>
    <x v="0"/>
    <x v="6"/>
    <n v="3"/>
    <n v="0.24"/>
    <n v="0.2424"/>
    <n v="0.75"/>
    <n v="0.16420000000000001"/>
    <n v="0"/>
    <n v="2"/>
    <n v="2"/>
    <x v="6"/>
    <x v="2"/>
    <x v="0"/>
    <x v="0"/>
    <x v="0"/>
    <x v="0"/>
    <s v="Normal"/>
  </r>
  <r>
    <n v="459"/>
    <d v="2011-01-21T00:00:00"/>
    <n v="1"/>
    <n v="0"/>
    <n v="1"/>
    <x v="3"/>
    <x v="0"/>
    <x v="6"/>
    <n v="3"/>
    <n v="0.22"/>
    <n v="0.21210000000000001"/>
    <n v="0.8"/>
    <n v="0.29849999999999999"/>
    <n v="0"/>
    <n v="1"/>
    <n v="1"/>
    <x v="6"/>
    <x v="2"/>
    <x v="0"/>
    <x v="0"/>
    <x v="0"/>
    <x v="0"/>
    <s v="Normal"/>
  </r>
  <r>
    <n v="460"/>
    <d v="2011-01-21T00:00:00"/>
    <n v="1"/>
    <n v="0"/>
    <n v="1"/>
    <x v="4"/>
    <x v="0"/>
    <x v="6"/>
    <n v="2"/>
    <n v="0.22"/>
    <n v="0.2576"/>
    <n v="0.87"/>
    <n v="8.9599999999999999E-2"/>
    <n v="0"/>
    <n v="1"/>
    <n v="1"/>
    <x v="6"/>
    <x v="1"/>
    <x v="0"/>
    <x v="0"/>
    <x v="0"/>
    <x v="0"/>
    <s v="Normal"/>
  </r>
  <r>
    <n v="461"/>
    <d v="2011-01-21T00:00:00"/>
    <n v="1"/>
    <n v="0"/>
    <n v="1"/>
    <x v="5"/>
    <x v="0"/>
    <x v="6"/>
    <n v="1"/>
    <n v="0.24"/>
    <n v="0.19700000000000001"/>
    <n v="0.6"/>
    <n v="0.41789999999999999"/>
    <n v="1"/>
    <n v="4"/>
    <n v="5"/>
    <x v="6"/>
    <x v="0"/>
    <x v="0"/>
    <x v="0"/>
    <x v="0"/>
    <x v="0"/>
    <s v="Normal"/>
  </r>
  <r>
    <n v="462"/>
    <d v="2011-01-21T00:00:00"/>
    <n v="1"/>
    <n v="0"/>
    <n v="1"/>
    <x v="6"/>
    <x v="0"/>
    <x v="6"/>
    <n v="1"/>
    <n v="0.22"/>
    <n v="0.21210000000000001"/>
    <n v="0.55000000000000004"/>
    <n v="0.25369999999999998"/>
    <n v="0"/>
    <n v="27"/>
    <n v="27"/>
    <x v="6"/>
    <x v="0"/>
    <x v="0"/>
    <x v="0"/>
    <x v="1"/>
    <x v="0"/>
    <s v="Normal"/>
  </r>
  <r>
    <n v="463"/>
    <d v="2011-01-21T00:00:00"/>
    <n v="1"/>
    <n v="0"/>
    <n v="1"/>
    <x v="7"/>
    <x v="0"/>
    <x v="6"/>
    <n v="1"/>
    <n v="0.2"/>
    <n v="0.18179999999999999"/>
    <n v="0.51"/>
    <n v="0.28360000000000002"/>
    <n v="2"/>
    <n v="66"/>
    <n v="68"/>
    <x v="6"/>
    <x v="0"/>
    <x v="1"/>
    <x v="1"/>
    <x v="1"/>
    <x v="0"/>
    <s v="Normal"/>
  </r>
  <r>
    <n v="464"/>
    <d v="2011-01-21T00:00:00"/>
    <n v="1"/>
    <n v="0"/>
    <n v="1"/>
    <x v="8"/>
    <x v="0"/>
    <x v="6"/>
    <n v="1"/>
    <n v="0.2"/>
    <n v="0.18179999999999999"/>
    <n v="0.47"/>
    <n v="0.32840000000000003"/>
    <n v="7"/>
    <n v="210"/>
    <n v="217"/>
    <x v="6"/>
    <x v="0"/>
    <x v="1"/>
    <x v="2"/>
    <x v="1"/>
    <x v="0"/>
    <s v="⬆ Spike"/>
  </r>
  <r>
    <n v="465"/>
    <d v="2011-01-21T00:00:00"/>
    <n v="1"/>
    <n v="0"/>
    <n v="1"/>
    <x v="9"/>
    <x v="0"/>
    <x v="6"/>
    <n v="1"/>
    <n v="0.2"/>
    <n v="0.18179999999999999"/>
    <n v="0.51"/>
    <n v="0.35820000000000002"/>
    <n v="7"/>
    <n v="159"/>
    <n v="166"/>
    <x v="6"/>
    <x v="0"/>
    <x v="1"/>
    <x v="2"/>
    <x v="1"/>
    <x v="0"/>
    <s v="⬆ Spike"/>
  </r>
  <r>
    <n v="466"/>
    <d v="2011-01-21T00:00:00"/>
    <n v="1"/>
    <n v="0"/>
    <n v="1"/>
    <x v="10"/>
    <x v="0"/>
    <x v="6"/>
    <n v="1"/>
    <n v="0.2"/>
    <n v="0.16669999999999999"/>
    <n v="0.47"/>
    <n v="0.4627"/>
    <n v="6"/>
    <n v="57"/>
    <n v="63"/>
    <x v="6"/>
    <x v="0"/>
    <x v="0"/>
    <x v="1"/>
    <x v="1"/>
    <x v="0"/>
    <s v="Normal"/>
  </r>
  <r>
    <n v="467"/>
    <d v="2011-01-21T00:00:00"/>
    <n v="1"/>
    <n v="0"/>
    <n v="1"/>
    <x v="11"/>
    <x v="0"/>
    <x v="6"/>
    <n v="1"/>
    <n v="0.22"/>
    <n v="0.18179999999999999"/>
    <n v="0.41"/>
    <n v="0.4627"/>
    <n v="6"/>
    <n v="53"/>
    <n v="59"/>
    <x v="6"/>
    <x v="0"/>
    <x v="0"/>
    <x v="1"/>
    <x v="1"/>
    <x v="0"/>
    <s v="Normal"/>
  </r>
  <r>
    <n v="468"/>
    <d v="2011-01-21T00:00:00"/>
    <n v="1"/>
    <n v="0"/>
    <n v="1"/>
    <x v="12"/>
    <x v="0"/>
    <x v="6"/>
    <n v="1"/>
    <n v="0.22"/>
    <n v="0.18179999999999999"/>
    <n v="0.27"/>
    <n v="0.58209999999999995"/>
    <n v="11"/>
    <n v="67"/>
    <n v="78"/>
    <x v="6"/>
    <x v="0"/>
    <x v="0"/>
    <x v="1"/>
    <x v="2"/>
    <x v="0"/>
    <s v="Normal"/>
  </r>
  <r>
    <n v="469"/>
    <d v="2011-01-21T00:00:00"/>
    <n v="1"/>
    <n v="0"/>
    <n v="1"/>
    <x v="13"/>
    <x v="0"/>
    <x v="6"/>
    <n v="1"/>
    <n v="0.2"/>
    <n v="0.1515"/>
    <n v="0.21"/>
    <n v="0.58209999999999995"/>
    <n v="8"/>
    <n v="65"/>
    <n v="73"/>
    <x v="6"/>
    <x v="0"/>
    <x v="0"/>
    <x v="1"/>
    <x v="2"/>
    <x v="0"/>
    <s v="Normal"/>
  </r>
  <r>
    <n v="470"/>
    <d v="2011-01-21T00:00:00"/>
    <n v="1"/>
    <n v="0"/>
    <n v="1"/>
    <x v="14"/>
    <x v="0"/>
    <x v="6"/>
    <n v="1"/>
    <n v="0.2"/>
    <n v="0.1515"/>
    <n v="0.25"/>
    <n v="0.52239999999999998"/>
    <n v="6"/>
    <n v="56"/>
    <n v="62"/>
    <x v="6"/>
    <x v="0"/>
    <x v="0"/>
    <x v="1"/>
    <x v="2"/>
    <x v="0"/>
    <s v="Normal"/>
  </r>
  <r>
    <n v="471"/>
    <d v="2011-01-21T00:00:00"/>
    <n v="1"/>
    <n v="0"/>
    <n v="1"/>
    <x v="15"/>
    <x v="0"/>
    <x v="6"/>
    <n v="1"/>
    <n v="0.16"/>
    <n v="0.1212"/>
    <n v="0.26"/>
    <n v="0.44779999999999998"/>
    <n v="4"/>
    <n v="61"/>
    <n v="65"/>
    <x v="6"/>
    <x v="0"/>
    <x v="0"/>
    <x v="1"/>
    <x v="2"/>
    <x v="3"/>
    <s v="Normal"/>
  </r>
  <r>
    <n v="472"/>
    <d v="2011-01-21T00:00:00"/>
    <n v="1"/>
    <n v="0"/>
    <n v="1"/>
    <x v="16"/>
    <x v="0"/>
    <x v="6"/>
    <n v="1"/>
    <n v="0.16"/>
    <n v="0.13639999999999999"/>
    <n v="0.26"/>
    <n v="0.35820000000000002"/>
    <n v="0"/>
    <n v="97"/>
    <n v="97"/>
    <x v="6"/>
    <x v="0"/>
    <x v="0"/>
    <x v="1"/>
    <x v="2"/>
    <x v="3"/>
    <s v="Normal"/>
  </r>
  <r>
    <n v="473"/>
    <d v="2011-01-21T00:00:00"/>
    <n v="1"/>
    <n v="0"/>
    <n v="1"/>
    <x v="17"/>
    <x v="0"/>
    <x v="6"/>
    <n v="1"/>
    <n v="0.14000000000000001"/>
    <n v="0.1212"/>
    <n v="0.28000000000000003"/>
    <n v="0.35820000000000002"/>
    <n v="10"/>
    <n v="151"/>
    <n v="161"/>
    <x v="6"/>
    <x v="0"/>
    <x v="1"/>
    <x v="2"/>
    <x v="2"/>
    <x v="3"/>
    <s v="⬆ Spike"/>
  </r>
  <r>
    <n v="474"/>
    <d v="2011-01-21T00:00:00"/>
    <n v="1"/>
    <n v="0"/>
    <n v="1"/>
    <x v="18"/>
    <x v="0"/>
    <x v="6"/>
    <n v="1"/>
    <n v="0.12"/>
    <n v="0.1212"/>
    <n v="0.3"/>
    <n v="0.25369999999999998"/>
    <n v="1"/>
    <n v="119"/>
    <n v="120"/>
    <x v="6"/>
    <x v="0"/>
    <x v="1"/>
    <x v="1"/>
    <x v="3"/>
    <x v="3"/>
    <s v="Normal"/>
  </r>
  <r>
    <n v="475"/>
    <d v="2011-01-21T00:00:00"/>
    <n v="1"/>
    <n v="0"/>
    <n v="1"/>
    <x v="19"/>
    <x v="0"/>
    <x v="6"/>
    <n v="1"/>
    <n v="0.12"/>
    <n v="0.1061"/>
    <n v="0.3"/>
    <n v="0.32840000000000003"/>
    <n v="3"/>
    <n v="93"/>
    <n v="96"/>
    <x v="6"/>
    <x v="0"/>
    <x v="1"/>
    <x v="1"/>
    <x v="3"/>
    <x v="3"/>
    <s v="Normal"/>
  </r>
  <r>
    <n v="476"/>
    <d v="2011-01-21T00:00:00"/>
    <n v="1"/>
    <n v="0"/>
    <n v="1"/>
    <x v="20"/>
    <x v="0"/>
    <x v="6"/>
    <n v="1"/>
    <n v="0.1"/>
    <n v="7.5800000000000006E-2"/>
    <n v="0.33"/>
    <n v="0.41789999999999999"/>
    <n v="1"/>
    <n v="52"/>
    <n v="53"/>
    <x v="6"/>
    <x v="0"/>
    <x v="0"/>
    <x v="1"/>
    <x v="3"/>
    <x v="3"/>
    <s v="Normal"/>
  </r>
  <r>
    <n v="477"/>
    <d v="2011-01-21T00:00:00"/>
    <n v="1"/>
    <n v="0"/>
    <n v="1"/>
    <x v="21"/>
    <x v="0"/>
    <x v="6"/>
    <n v="1"/>
    <n v="0.08"/>
    <n v="7.5800000000000006E-2"/>
    <n v="0.38"/>
    <n v="0.28360000000000002"/>
    <n v="0"/>
    <n v="41"/>
    <n v="41"/>
    <x v="6"/>
    <x v="0"/>
    <x v="0"/>
    <x v="0"/>
    <x v="3"/>
    <x v="4"/>
    <s v="Normal"/>
  </r>
  <r>
    <n v="478"/>
    <d v="2011-01-21T00:00:00"/>
    <n v="1"/>
    <n v="0"/>
    <n v="1"/>
    <x v="22"/>
    <x v="0"/>
    <x v="6"/>
    <n v="1"/>
    <n v="0.06"/>
    <n v="3.0300000000000001E-2"/>
    <n v="0.41"/>
    <n v="0.3881"/>
    <n v="1"/>
    <n v="33"/>
    <n v="34"/>
    <x v="6"/>
    <x v="0"/>
    <x v="0"/>
    <x v="0"/>
    <x v="3"/>
    <x v="4"/>
    <s v="Normal"/>
  </r>
  <r>
    <n v="479"/>
    <d v="2011-01-21T00:00:00"/>
    <n v="1"/>
    <n v="0"/>
    <n v="1"/>
    <x v="23"/>
    <x v="0"/>
    <x v="6"/>
    <n v="1"/>
    <n v="0.06"/>
    <n v="4.5499999999999999E-2"/>
    <n v="0.38"/>
    <n v="0.32840000000000003"/>
    <n v="0"/>
    <n v="27"/>
    <n v="27"/>
    <x v="6"/>
    <x v="0"/>
    <x v="0"/>
    <x v="0"/>
    <x v="3"/>
    <x v="4"/>
    <s v="Normal"/>
  </r>
  <r>
    <n v="480"/>
    <d v="2011-01-22T00:00:00"/>
    <n v="1"/>
    <n v="0"/>
    <n v="1"/>
    <x v="0"/>
    <x v="0"/>
    <x v="0"/>
    <n v="1"/>
    <n v="0.04"/>
    <n v="3.0300000000000001E-2"/>
    <n v="0.45"/>
    <n v="0.25369999999999998"/>
    <n v="0"/>
    <n v="13"/>
    <n v="13"/>
    <x v="0"/>
    <x v="0"/>
    <x v="0"/>
    <x v="0"/>
    <x v="0"/>
    <x v="4"/>
    <s v="Normal"/>
  </r>
  <r>
    <n v="481"/>
    <d v="2011-01-22T00:00:00"/>
    <n v="1"/>
    <n v="0"/>
    <n v="1"/>
    <x v="1"/>
    <x v="0"/>
    <x v="0"/>
    <n v="2"/>
    <n v="0.04"/>
    <n v="0"/>
    <n v="0.41"/>
    <n v="0.3881"/>
    <n v="3"/>
    <n v="9"/>
    <n v="12"/>
    <x v="0"/>
    <x v="1"/>
    <x v="0"/>
    <x v="0"/>
    <x v="0"/>
    <x v="4"/>
    <s v="Normal"/>
  </r>
  <r>
    <n v="482"/>
    <d v="2011-01-22T00:00:00"/>
    <n v="1"/>
    <n v="0"/>
    <n v="1"/>
    <x v="2"/>
    <x v="0"/>
    <x v="0"/>
    <n v="2"/>
    <n v="0.04"/>
    <n v="3.0300000000000001E-2"/>
    <n v="0.41"/>
    <n v="0.25369999999999998"/>
    <n v="0"/>
    <n v="11"/>
    <n v="11"/>
    <x v="0"/>
    <x v="1"/>
    <x v="0"/>
    <x v="0"/>
    <x v="0"/>
    <x v="4"/>
    <s v="Normal"/>
  </r>
  <r>
    <n v="483"/>
    <d v="2011-01-22T00:00:00"/>
    <n v="1"/>
    <n v="0"/>
    <n v="1"/>
    <x v="3"/>
    <x v="0"/>
    <x v="0"/>
    <n v="2"/>
    <n v="0.04"/>
    <n v="3.0300000000000001E-2"/>
    <n v="0.41"/>
    <n v="0.28360000000000002"/>
    <n v="1"/>
    <n v="6"/>
    <n v="7"/>
    <x v="0"/>
    <x v="1"/>
    <x v="0"/>
    <x v="0"/>
    <x v="0"/>
    <x v="4"/>
    <s v="Normal"/>
  </r>
  <r>
    <n v="484"/>
    <d v="2011-01-22T00:00:00"/>
    <n v="1"/>
    <n v="0"/>
    <n v="1"/>
    <x v="4"/>
    <x v="0"/>
    <x v="0"/>
    <n v="2"/>
    <n v="0.02"/>
    <n v="1.52E-2"/>
    <n v="0.48"/>
    <n v="0.29849999999999999"/>
    <n v="0"/>
    <n v="3"/>
    <n v="3"/>
    <x v="0"/>
    <x v="1"/>
    <x v="0"/>
    <x v="0"/>
    <x v="0"/>
    <x v="4"/>
    <s v="Normal"/>
  </r>
  <r>
    <n v="485"/>
    <d v="2011-01-22T00:00:00"/>
    <n v="1"/>
    <n v="0"/>
    <n v="1"/>
    <x v="6"/>
    <x v="0"/>
    <x v="0"/>
    <n v="2"/>
    <n v="0.02"/>
    <n v="3.0300000000000001E-2"/>
    <n v="0.44"/>
    <n v="0.22389999999999999"/>
    <n v="0"/>
    <n v="2"/>
    <n v="2"/>
    <x v="0"/>
    <x v="1"/>
    <x v="0"/>
    <x v="0"/>
    <x v="1"/>
    <x v="4"/>
    <s v="Normal"/>
  </r>
  <r>
    <n v="486"/>
    <d v="2011-01-22T00:00:00"/>
    <n v="1"/>
    <n v="0"/>
    <n v="1"/>
    <x v="7"/>
    <x v="0"/>
    <x v="0"/>
    <n v="1"/>
    <n v="0.02"/>
    <n v="1.52E-2"/>
    <n v="0.44"/>
    <n v="0.28360000000000002"/>
    <n v="0"/>
    <n v="8"/>
    <n v="8"/>
    <x v="0"/>
    <x v="0"/>
    <x v="1"/>
    <x v="0"/>
    <x v="1"/>
    <x v="4"/>
    <s v="Normal"/>
  </r>
  <r>
    <n v="487"/>
    <d v="2011-01-22T00:00:00"/>
    <n v="1"/>
    <n v="0"/>
    <n v="1"/>
    <x v="8"/>
    <x v="0"/>
    <x v="0"/>
    <n v="1"/>
    <n v="0.02"/>
    <n v="0"/>
    <n v="0.44"/>
    <n v="0.32840000000000003"/>
    <n v="1"/>
    <n v="26"/>
    <n v="27"/>
    <x v="0"/>
    <x v="0"/>
    <x v="1"/>
    <x v="0"/>
    <x v="1"/>
    <x v="4"/>
    <s v="Normal"/>
  </r>
  <r>
    <n v="488"/>
    <d v="2011-01-22T00:00:00"/>
    <n v="1"/>
    <n v="0"/>
    <n v="1"/>
    <x v="9"/>
    <x v="0"/>
    <x v="0"/>
    <n v="1"/>
    <n v="0.04"/>
    <n v="3.0300000000000001E-2"/>
    <n v="0.41"/>
    <n v="0.25369999999999998"/>
    <n v="3"/>
    <n v="37"/>
    <n v="40"/>
    <x v="0"/>
    <x v="0"/>
    <x v="1"/>
    <x v="0"/>
    <x v="1"/>
    <x v="4"/>
    <s v="Normal"/>
  </r>
  <r>
    <n v="489"/>
    <d v="2011-01-22T00:00:00"/>
    <n v="1"/>
    <n v="0"/>
    <n v="1"/>
    <x v="10"/>
    <x v="0"/>
    <x v="0"/>
    <n v="2"/>
    <n v="0.04"/>
    <n v="6.0600000000000001E-2"/>
    <n v="0.41"/>
    <n v="0.16420000000000001"/>
    <n v="3"/>
    <n v="50"/>
    <n v="53"/>
    <x v="0"/>
    <x v="1"/>
    <x v="0"/>
    <x v="1"/>
    <x v="1"/>
    <x v="4"/>
    <s v="Normal"/>
  </r>
  <r>
    <n v="490"/>
    <d v="2011-01-22T00:00:00"/>
    <n v="1"/>
    <n v="0"/>
    <n v="1"/>
    <x v="11"/>
    <x v="0"/>
    <x v="0"/>
    <n v="2"/>
    <n v="0.06"/>
    <n v="7.5800000000000006E-2"/>
    <n v="0.38"/>
    <n v="0.1343"/>
    <n v="4"/>
    <n v="59"/>
    <n v="63"/>
    <x v="0"/>
    <x v="1"/>
    <x v="0"/>
    <x v="1"/>
    <x v="1"/>
    <x v="4"/>
    <s v="Normal"/>
  </r>
  <r>
    <n v="491"/>
    <d v="2011-01-22T00:00:00"/>
    <n v="1"/>
    <n v="0"/>
    <n v="1"/>
    <x v="12"/>
    <x v="0"/>
    <x v="0"/>
    <n v="2"/>
    <n v="0.06"/>
    <n v="0.1061"/>
    <n v="0.38"/>
    <n v="0.1045"/>
    <n v="10"/>
    <n v="60"/>
    <n v="70"/>
    <x v="0"/>
    <x v="1"/>
    <x v="0"/>
    <x v="1"/>
    <x v="2"/>
    <x v="4"/>
    <s v="Normal"/>
  </r>
  <r>
    <n v="492"/>
    <d v="2011-01-22T00:00:00"/>
    <n v="1"/>
    <n v="0"/>
    <n v="1"/>
    <x v="13"/>
    <x v="0"/>
    <x v="0"/>
    <n v="1"/>
    <n v="0.08"/>
    <n v="0.16669999999999999"/>
    <n v="0.35"/>
    <n v="0"/>
    <n v="12"/>
    <n v="72"/>
    <n v="84"/>
    <x v="0"/>
    <x v="0"/>
    <x v="0"/>
    <x v="1"/>
    <x v="2"/>
    <x v="4"/>
    <s v="Normal"/>
  </r>
  <r>
    <n v="493"/>
    <d v="2011-01-22T00:00:00"/>
    <n v="1"/>
    <n v="0"/>
    <n v="1"/>
    <x v="14"/>
    <x v="0"/>
    <x v="0"/>
    <n v="1"/>
    <n v="0.1"/>
    <n v="0.13639999999999999"/>
    <n v="0.33"/>
    <n v="0.1045"/>
    <n v="11"/>
    <n v="64"/>
    <n v="75"/>
    <x v="0"/>
    <x v="0"/>
    <x v="0"/>
    <x v="1"/>
    <x v="2"/>
    <x v="3"/>
    <s v="Normal"/>
  </r>
  <r>
    <n v="494"/>
    <d v="2011-01-22T00:00:00"/>
    <n v="1"/>
    <n v="0"/>
    <n v="1"/>
    <x v="15"/>
    <x v="0"/>
    <x v="0"/>
    <n v="1"/>
    <n v="0.12"/>
    <n v="0.1515"/>
    <n v="0.28000000000000003"/>
    <n v="0"/>
    <n v="10"/>
    <n v="93"/>
    <n v="103"/>
    <x v="0"/>
    <x v="0"/>
    <x v="0"/>
    <x v="1"/>
    <x v="2"/>
    <x v="3"/>
    <s v="Normal"/>
  </r>
  <r>
    <n v="495"/>
    <d v="2011-01-22T00:00:00"/>
    <n v="1"/>
    <n v="0"/>
    <n v="1"/>
    <x v="16"/>
    <x v="0"/>
    <x v="0"/>
    <n v="1"/>
    <n v="0.12"/>
    <n v="0.13639999999999999"/>
    <n v="0.28000000000000003"/>
    <n v="0.19400000000000001"/>
    <n v="11"/>
    <n v="72"/>
    <n v="83"/>
    <x v="0"/>
    <x v="0"/>
    <x v="0"/>
    <x v="1"/>
    <x v="2"/>
    <x v="3"/>
    <s v="Normal"/>
  </r>
  <r>
    <n v="496"/>
    <d v="2011-01-22T00:00:00"/>
    <n v="1"/>
    <n v="0"/>
    <n v="1"/>
    <x v="17"/>
    <x v="0"/>
    <x v="0"/>
    <n v="1"/>
    <n v="0.12"/>
    <n v="0.19700000000000001"/>
    <n v="0.28000000000000003"/>
    <n v="0"/>
    <n v="8"/>
    <n v="59"/>
    <n v="67"/>
    <x v="0"/>
    <x v="0"/>
    <x v="1"/>
    <x v="1"/>
    <x v="2"/>
    <x v="3"/>
    <s v="Normal"/>
  </r>
  <r>
    <n v="497"/>
    <d v="2011-01-22T00:00:00"/>
    <n v="1"/>
    <n v="0"/>
    <n v="1"/>
    <x v="18"/>
    <x v="0"/>
    <x v="0"/>
    <n v="1"/>
    <n v="0.08"/>
    <n v="9.0899999999999995E-2"/>
    <n v="0.35"/>
    <n v="0.19400000000000001"/>
    <n v="0"/>
    <n v="54"/>
    <n v="54"/>
    <x v="0"/>
    <x v="0"/>
    <x v="1"/>
    <x v="1"/>
    <x v="3"/>
    <x v="4"/>
    <s v="Normal"/>
  </r>
  <r>
    <n v="498"/>
    <d v="2011-01-22T00:00:00"/>
    <n v="1"/>
    <n v="0"/>
    <n v="1"/>
    <x v="19"/>
    <x v="0"/>
    <x v="0"/>
    <n v="1"/>
    <n v="0.08"/>
    <n v="0.1061"/>
    <n v="0.35"/>
    <n v="0.1343"/>
    <n v="6"/>
    <n v="53"/>
    <n v="59"/>
    <x v="0"/>
    <x v="0"/>
    <x v="1"/>
    <x v="1"/>
    <x v="3"/>
    <x v="4"/>
    <s v="Normal"/>
  </r>
  <r>
    <n v="499"/>
    <d v="2011-01-22T00:00:00"/>
    <n v="1"/>
    <n v="0"/>
    <n v="1"/>
    <x v="20"/>
    <x v="0"/>
    <x v="0"/>
    <n v="1"/>
    <n v="0.06"/>
    <n v="7.5800000000000006E-2"/>
    <n v="0.45"/>
    <n v="0.16420000000000001"/>
    <n v="1"/>
    <n v="44"/>
    <n v="45"/>
    <x v="0"/>
    <x v="0"/>
    <x v="0"/>
    <x v="0"/>
    <x v="3"/>
    <x v="4"/>
    <s v="Normal"/>
  </r>
  <r>
    <n v="500"/>
    <d v="2011-01-22T00:00:00"/>
    <n v="1"/>
    <n v="0"/>
    <n v="1"/>
    <x v="21"/>
    <x v="0"/>
    <x v="0"/>
    <n v="1"/>
    <n v="0.06"/>
    <n v="0.1061"/>
    <n v="0.41"/>
    <n v="8.9599999999999999E-2"/>
    <n v="0"/>
    <n v="39"/>
    <n v="39"/>
    <x v="0"/>
    <x v="0"/>
    <x v="0"/>
    <x v="0"/>
    <x v="3"/>
    <x v="4"/>
    <s v="Normal"/>
  </r>
  <r>
    <n v="501"/>
    <d v="2011-01-22T00:00:00"/>
    <n v="1"/>
    <n v="0"/>
    <n v="1"/>
    <x v="22"/>
    <x v="0"/>
    <x v="0"/>
    <n v="1"/>
    <n v="0.06"/>
    <n v="0.1515"/>
    <n v="0.49"/>
    <n v="0"/>
    <n v="7"/>
    <n v="23"/>
    <n v="30"/>
    <x v="0"/>
    <x v="0"/>
    <x v="0"/>
    <x v="0"/>
    <x v="3"/>
    <x v="4"/>
    <s v="Normal"/>
  </r>
  <r>
    <n v="502"/>
    <d v="2011-01-22T00:00:00"/>
    <n v="1"/>
    <n v="0"/>
    <n v="1"/>
    <x v="23"/>
    <x v="0"/>
    <x v="0"/>
    <n v="1"/>
    <n v="0.04"/>
    <n v="7.5800000000000006E-2"/>
    <n v="0.56999999999999995"/>
    <n v="0.1045"/>
    <n v="2"/>
    <n v="31"/>
    <n v="33"/>
    <x v="0"/>
    <x v="0"/>
    <x v="0"/>
    <x v="0"/>
    <x v="3"/>
    <x v="4"/>
    <s v="Normal"/>
  </r>
  <r>
    <n v="503"/>
    <d v="2011-01-23T00:00:00"/>
    <n v="1"/>
    <n v="0"/>
    <n v="1"/>
    <x v="0"/>
    <x v="0"/>
    <x v="1"/>
    <n v="1"/>
    <n v="0.04"/>
    <n v="7.5800000000000006E-2"/>
    <n v="0.56999999999999995"/>
    <n v="0.1045"/>
    <n v="2"/>
    <n v="20"/>
    <n v="22"/>
    <x v="1"/>
    <x v="0"/>
    <x v="0"/>
    <x v="0"/>
    <x v="0"/>
    <x v="4"/>
    <s v="Normal"/>
  </r>
  <r>
    <n v="504"/>
    <d v="2011-01-23T00:00:00"/>
    <n v="1"/>
    <n v="0"/>
    <n v="1"/>
    <x v="1"/>
    <x v="0"/>
    <x v="1"/>
    <n v="1"/>
    <n v="0.04"/>
    <n v="7.5800000000000006E-2"/>
    <n v="0.56999999999999995"/>
    <n v="0.1045"/>
    <n v="1"/>
    <n v="12"/>
    <n v="13"/>
    <x v="1"/>
    <x v="0"/>
    <x v="0"/>
    <x v="0"/>
    <x v="0"/>
    <x v="4"/>
    <s v="Normal"/>
  </r>
  <r>
    <n v="505"/>
    <d v="2011-01-23T00:00:00"/>
    <n v="1"/>
    <n v="0"/>
    <n v="1"/>
    <x v="2"/>
    <x v="0"/>
    <x v="1"/>
    <n v="1"/>
    <n v="0.02"/>
    <n v="6.0600000000000001E-2"/>
    <n v="0.62"/>
    <n v="0.1343"/>
    <n v="3"/>
    <n v="15"/>
    <n v="18"/>
    <x v="1"/>
    <x v="0"/>
    <x v="0"/>
    <x v="0"/>
    <x v="0"/>
    <x v="4"/>
    <s v="Normal"/>
  </r>
  <r>
    <n v="506"/>
    <d v="2011-01-23T00:00:00"/>
    <n v="1"/>
    <n v="0"/>
    <n v="1"/>
    <x v="3"/>
    <x v="0"/>
    <x v="1"/>
    <n v="1"/>
    <n v="0.02"/>
    <n v="6.0600000000000001E-2"/>
    <n v="0.62"/>
    <n v="0.1343"/>
    <n v="1"/>
    <n v="4"/>
    <n v="5"/>
    <x v="1"/>
    <x v="0"/>
    <x v="0"/>
    <x v="0"/>
    <x v="0"/>
    <x v="4"/>
    <s v="Normal"/>
  </r>
  <r>
    <n v="507"/>
    <d v="2011-01-23T00:00:00"/>
    <n v="1"/>
    <n v="0"/>
    <n v="1"/>
    <x v="5"/>
    <x v="0"/>
    <x v="1"/>
    <n v="2"/>
    <n v="0.04"/>
    <n v="7.5800000000000006E-2"/>
    <n v="0.56999999999999995"/>
    <n v="0.1045"/>
    <n v="0"/>
    <n v="3"/>
    <n v="3"/>
    <x v="1"/>
    <x v="1"/>
    <x v="0"/>
    <x v="0"/>
    <x v="0"/>
    <x v="4"/>
    <s v="Normal"/>
  </r>
  <r>
    <n v="508"/>
    <d v="2011-01-23T00:00:00"/>
    <n v="1"/>
    <n v="0"/>
    <n v="1"/>
    <x v="6"/>
    <x v="0"/>
    <x v="1"/>
    <n v="2"/>
    <n v="0.04"/>
    <n v="7.5800000000000006E-2"/>
    <n v="0.56999999999999995"/>
    <n v="0.1045"/>
    <n v="0"/>
    <n v="1"/>
    <n v="1"/>
    <x v="1"/>
    <x v="1"/>
    <x v="0"/>
    <x v="0"/>
    <x v="1"/>
    <x v="4"/>
    <s v="Normal"/>
  </r>
  <r>
    <n v="509"/>
    <d v="2011-01-23T00:00:00"/>
    <n v="1"/>
    <n v="0"/>
    <n v="1"/>
    <x v="7"/>
    <x v="0"/>
    <x v="1"/>
    <n v="1"/>
    <n v="0.08"/>
    <n v="0.1061"/>
    <n v="0.57999999999999996"/>
    <n v="0.16420000000000001"/>
    <n v="1"/>
    <n v="1"/>
    <n v="2"/>
    <x v="1"/>
    <x v="0"/>
    <x v="1"/>
    <x v="0"/>
    <x v="1"/>
    <x v="4"/>
    <s v="Normal"/>
  </r>
  <r>
    <n v="510"/>
    <d v="2011-01-23T00:00:00"/>
    <n v="1"/>
    <n v="0"/>
    <n v="1"/>
    <x v="8"/>
    <x v="0"/>
    <x v="1"/>
    <n v="1"/>
    <n v="0.06"/>
    <n v="7.5800000000000006E-2"/>
    <n v="0.62"/>
    <n v="0.16420000000000001"/>
    <n v="2"/>
    <n v="17"/>
    <n v="19"/>
    <x v="1"/>
    <x v="0"/>
    <x v="1"/>
    <x v="0"/>
    <x v="1"/>
    <x v="4"/>
    <s v="Normal"/>
  </r>
  <r>
    <n v="511"/>
    <d v="2011-01-23T00:00:00"/>
    <n v="1"/>
    <n v="0"/>
    <n v="1"/>
    <x v="9"/>
    <x v="0"/>
    <x v="1"/>
    <n v="1"/>
    <n v="0.1"/>
    <n v="7.5800000000000006E-2"/>
    <n v="0.54"/>
    <n v="0.35820000000000002"/>
    <n v="3"/>
    <n v="25"/>
    <n v="28"/>
    <x v="1"/>
    <x v="0"/>
    <x v="1"/>
    <x v="0"/>
    <x v="1"/>
    <x v="3"/>
    <s v="Normal"/>
  </r>
  <r>
    <n v="512"/>
    <d v="2011-01-23T00:00:00"/>
    <n v="1"/>
    <n v="0"/>
    <n v="1"/>
    <x v="10"/>
    <x v="0"/>
    <x v="1"/>
    <n v="1"/>
    <n v="0.14000000000000001"/>
    <n v="0.1061"/>
    <n v="0.46"/>
    <n v="0.3881"/>
    <n v="7"/>
    <n v="51"/>
    <n v="58"/>
    <x v="1"/>
    <x v="0"/>
    <x v="0"/>
    <x v="1"/>
    <x v="1"/>
    <x v="3"/>
    <s v="Normal"/>
  </r>
  <r>
    <n v="513"/>
    <d v="2011-01-23T00:00:00"/>
    <n v="1"/>
    <n v="0"/>
    <n v="1"/>
    <x v="11"/>
    <x v="0"/>
    <x v="1"/>
    <n v="1"/>
    <n v="0.14000000000000001"/>
    <n v="0.13639999999999999"/>
    <n v="0.43"/>
    <n v="0.22389999999999999"/>
    <n v="22"/>
    <n v="77"/>
    <n v="99"/>
    <x v="1"/>
    <x v="0"/>
    <x v="0"/>
    <x v="1"/>
    <x v="1"/>
    <x v="3"/>
    <s v="Normal"/>
  </r>
  <r>
    <n v="514"/>
    <d v="2011-01-23T00:00:00"/>
    <n v="1"/>
    <n v="0"/>
    <n v="1"/>
    <x v="12"/>
    <x v="0"/>
    <x v="1"/>
    <n v="1"/>
    <n v="0.16"/>
    <n v="0.1212"/>
    <n v="0.37"/>
    <n v="0.4627"/>
    <n v="24"/>
    <n v="92"/>
    <n v="116"/>
    <x v="1"/>
    <x v="0"/>
    <x v="0"/>
    <x v="1"/>
    <x v="2"/>
    <x v="3"/>
    <s v="Normal"/>
  </r>
  <r>
    <n v="515"/>
    <d v="2011-01-23T00:00:00"/>
    <n v="1"/>
    <n v="0"/>
    <n v="1"/>
    <x v="13"/>
    <x v="0"/>
    <x v="1"/>
    <n v="1"/>
    <n v="0.14000000000000001"/>
    <n v="0.1061"/>
    <n v="0.33"/>
    <n v="0.3881"/>
    <n v="12"/>
    <n v="75"/>
    <n v="87"/>
    <x v="1"/>
    <x v="0"/>
    <x v="0"/>
    <x v="1"/>
    <x v="2"/>
    <x v="3"/>
    <s v="Normal"/>
  </r>
  <r>
    <n v="516"/>
    <d v="2011-01-23T00:00:00"/>
    <n v="1"/>
    <n v="0"/>
    <n v="1"/>
    <x v="14"/>
    <x v="0"/>
    <x v="1"/>
    <n v="1"/>
    <n v="0.16"/>
    <n v="0.13639999999999999"/>
    <n v="0.28000000000000003"/>
    <n v="0.35820000000000002"/>
    <n v="17"/>
    <n v="93"/>
    <n v="110"/>
    <x v="1"/>
    <x v="0"/>
    <x v="0"/>
    <x v="1"/>
    <x v="2"/>
    <x v="3"/>
    <s v="Normal"/>
  </r>
  <r>
    <n v="517"/>
    <d v="2011-01-23T00:00:00"/>
    <n v="1"/>
    <n v="0"/>
    <n v="1"/>
    <x v="15"/>
    <x v="0"/>
    <x v="1"/>
    <n v="1"/>
    <n v="0.16"/>
    <n v="0.13639999999999999"/>
    <n v="0.28000000000000003"/>
    <n v="0.35820000000000002"/>
    <n v="13"/>
    <n v="64"/>
    <n v="77"/>
    <x v="1"/>
    <x v="0"/>
    <x v="0"/>
    <x v="1"/>
    <x v="2"/>
    <x v="3"/>
    <s v="Normal"/>
  </r>
  <r>
    <n v="518"/>
    <d v="2011-01-23T00:00:00"/>
    <n v="1"/>
    <n v="0"/>
    <n v="1"/>
    <x v="16"/>
    <x v="0"/>
    <x v="1"/>
    <n v="1"/>
    <n v="0.16"/>
    <n v="0.13639999999999999"/>
    <n v="0.26"/>
    <n v="0.32840000000000003"/>
    <n v="9"/>
    <n v="56"/>
    <n v="65"/>
    <x v="1"/>
    <x v="0"/>
    <x v="0"/>
    <x v="1"/>
    <x v="2"/>
    <x v="3"/>
    <s v="Normal"/>
  </r>
  <r>
    <n v="519"/>
    <d v="2011-01-23T00:00:00"/>
    <n v="1"/>
    <n v="0"/>
    <n v="1"/>
    <x v="17"/>
    <x v="0"/>
    <x v="1"/>
    <n v="1"/>
    <n v="0.14000000000000001"/>
    <n v="0.1061"/>
    <n v="0.26"/>
    <n v="0.3881"/>
    <n v="5"/>
    <n v="50"/>
    <n v="55"/>
    <x v="1"/>
    <x v="0"/>
    <x v="1"/>
    <x v="1"/>
    <x v="2"/>
    <x v="3"/>
    <s v="Normal"/>
  </r>
  <r>
    <n v="520"/>
    <d v="2011-01-23T00:00:00"/>
    <n v="1"/>
    <n v="0"/>
    <n v="1"/>
    <x v="18"/>
    <x v="0"/>
    <x v="1"/>
    <n v="1"/>
    <n v="0.12"/>
    <n v="0.1212"/>
    <n v="0.3"/>
    <n v="0.25369999999999998"/>
    <n v="5"/>
    <n v="44"/>
    <n v="49"/>
    <x v="1"/>
    <x v="0"/>
    <x v="1"/>
    <x v="0"/>
    <x v="3"/>
    <x v="3"/>
    <s v="Normal"/>
  </r>
  <r>
    <n v="521"/>
    <d v="2011-01-23T00:00:00"/>
    <n v="1"/>
    <n v="0"/>
    <n v="1"/>
    <x v="19"/>
    <x v="0"/>
    <x v="1"/>
    <n v="1"/>
    <n v="0.12"/>
    <n v="0.1212"/>
    <n v="0.3"/>
    <n v="0.28360000000000002"/>
    <n v="5"/>
    <n v="45"/>
    <n v="50"/>
    <x v="1"/>
    <x v="0"/>
    <x v="1"/>
    <x v="0"/>
    <x v="3"/>
    <x v="3"/>
    <s v="Normal"/>
  </r>
  <r>
    <n v="522"/>
    <d v="2011-01-23T00:00:00"/>
    <n v="1"/>
    <n v="0"/>
    <n v="1"/>
    <x v="20"/>
    <x v="0"/>
    <x v="1"/>
    <n v="1"/>
    <n v="0.1"/>
    <n v="0.1061"/>
    <n v="0.36"/>
    <n v="0.25369999999999998"/>
    <n v="4"/>
    <n v="31"/>
    <n v="35"/>
    <x v="1"/>
    <x v="0"/>
    <x v="0"/>
    <x v="0"/>
    <x v="3"/>
    <x v="3"/>
    <s v="Normal"/>
  </r>
  <r>
    <n v="523"/>
    <d v="2011-01-23T00:00:00"/>
    <n v="1"/>
    <n v="0"/>
    <n v="1"/>
    <x v="21"/>
    <x v="0"/>
    <x v="1"/>
    <n v="1"/>
    <n v="0.1"/>
    <n v="0.1061"/>
    <n v="0.36"/>
    <n v="0.19400000000000001"/>
    <n v="5"/>
    <n v="20"/>
    <n v="25"/>
    <x v="1"/>
    <x v="0"/>
    <x v="0"/>
    <x v="0"/>
    <x v="3"/>
    <x v="3"/>
    <s v="Normal"/>
  </r>
  <r>
    <n v="524"/>
    <d v="2011-01-23T00:00:00"/>
    <n v="1"/>
    <n v="0"/>
    <n v="1"/>
    <x v="22"/>
    <x v="0"/>
    <x v="1"/>
    <n v="1"/>
    <n v="0.08"/>
    <n v="9.0899999999999995E-2"/>
    <n v="0.38"/>
    <n v="0.19400000000000001"/>
    <n v="5"/>
    <n v="23"/>
    <n v="28"/>
    <x v="1"/>
    <x v="0"/>
    <x v="0"/>
    <x v="0"/>
    <x v="3"/>
    <x v="4"/>
    <s v="Normal"/>
  </r>
  <r>
    <n v="525"/>
    <d v="2011-01-23T00:00:00"/>
    <n v="1"/>
    <n v="0"/>
    <n v="1"/>
    <x v="23"/>
    <x v="0"/>
    <x v="1"/>
    <n v="1"/>
    <n v="0.06"/>
    <n v="6.0600000000000001E-2"/>
    <n v="0.41"/>
    <n v="0.22389999999999999"/>
    <n v="4"/>
    <n v="17"/>
    <n v="21"/>
    <x v="1"/>
    <x v="0"/>
    <x v="0"/>
    <x v="0"/>
    <x v="3"/>
    <x v="4"/>
    <s v="Normal"/>
  </r>
  <r>
    <n v="526"/>
    <d v="2011-01-24T00:00:00"/>
    <n v="1"/>
    <n v="0"/>
    <n v="1"/>
    <x v="0"/>
    <x v="0"/>
    <x v="2"/>
    <n v="1"/>
    <n v="0.06"/>
    <n v="6.0600000000000001E-2"/>
    <n v="0.41"/>
    <n v="0.19400000000000001"/>
    <n v="0"/>
    <n v="7"/>
    <n v="7"/>
    <x v="2"/>
    <x v="0"/>
    <x v="0"/>
    <x v="0"/>
    <x v="0"/>
    <x v="4"/>
    <s v="Normal"/>
  </r>
  <r>
    <n v="527"/>
    <d v="2011-01-24T00:00:00"/>
    <n v="1"/>
    <n v="0"/>
    <n v="1"/>
    <x v="1"/>
    <x v="0"/>
    <x v="2"/>
    <n v="1"/>
    <n v="0.04"/>
    <n v="4.5499999999999999E-2"/>
    <n v="0.45"/>
    <n v="0.19400000000000001"/>
    <n v="0"/>
    <n v="1"/>
    <n v="1"/>
    <x v="2"/>
    <x v="0"/>
    <x v="0"/>
    <x v="0"/>
    <x v="0"/>
    <x v="4"/>
    <s v="Normal"/>
  </r>
  <r>
    <n v="528"/>
    <d v="2011-01-24T00:00:00"/>
    <n v="1"/>
    <n v="0"/>
    <n v="1"/>
    <x v="3"/>
    <x v="0"/>
    <x v="2"/>
    <n v="1"/>
    <n v="0.04"/>
    <n v="3.0300000000000001E-2"/>
    <n v="0.45"/>
    <n v="0.25369999999999998"/>
    <n v="0"/>
    <n v="1"/>
    <n v="1"/>
    <x v="2"/>
    <x v="0"/>
    <x v="0"/>
    <x v="0"/>
    <x v="0"/>
    <x v="4"/>
    <s v="Normal"/>
  </r>
  <r>
    <n v="529"/>
    <d v="2011-01-24T00:00:00"/>
    <n v="1"/>
    <n v="0"/>
    <n v="1"/>
    <x v="4"/>
    <x v="0"/>
    <x v="2"/>
    <n v="1"/>
    <n v="0.02"/>
    <n v="6.0600000000000001E-2"/>
    <n v="0.48"/>
    <n v="0.1343"/>
    <n v="0"/>
    <n v="1"/>
    <n v="1"/>
    <x v="2"/>
    <x v="0"/>
    <x v="0"/>
    <x v="0"/>
    <x v="0"/>
    <x v="4"/>
    <s v="Normal"/>
  </r>
  <r>
    <n v="530"/>
    <d v="2011-01-24T00:00:00"/>
    <n v="1"/>
    <n v="0"/>
    <n v="1"/>
    <x v="5"/>
    <x v="0"/>
    <x v="2"/>
    <n v="1"/>
    <n v="0.02"/>
    <n v="6.0600000000000001E-2"/>
    <n v="0.48"/>
    <n v="0.1343"/>
    <n v="0"/>
    <n v="5"/>
    <n v="5"/>
    <x v="2"/>
    <x v="0"/>
    <x v="0"/>
    <x v="0"/>
    <x v="0"/>
    <x v="4"/>
    <s v="Normal"/>
  </r>
  <r>
    <n v="531"/>
    <d v="2011-01-24T00:00:00"/>
    <n v="1"/>
    <n v="0"/>
    <n v="1"/>
    <x v="6"/>
    <x v="0"/>
    <x v="2"/>
    <n v="1"/>
    <n v="0.02"/>
    <n v="7.5800000000000006E-2"/>
    <n v="0.48"/>
    <n v="8.9599999999999999E-2"/>
    <n v="0"/>
    <n v="15"/>
    <n v="15"/>
    <x v="2"/>
    <x v="0"/>
    <x v="0"/>
    <x v="0"/>
    <x v="1"/>
    <x v="4"/>
    <s v="Normal"/>
  </r>
  <r>
    <n v="532"/>
    <d v="2011-01-24T00:00:00"/>
    <n v="1"/>
    <n v="0"/>
    <n v="1"/>
    <x v="7"/>
    <x v="0"/>
    <x v="2"/>
    <n v="1"/>
    <n v="0.02"/>
    <n v="0.1212"/>
    <n v="0.48"/>
    <n v="0"/>
    <n v="5"/>
    <n v="79"/>
    <n v="84"/>
    <x v="2"/>
    <x v="0"/>
    <x v="1"/>
    <x v="1"/>
    <x v="1"/>
    <x v="4"/>
    <s v="Normal"/>
  </r>
  <r>
    <n v="533"/>
    <d v="2011-01-24T00:00:00"/>
    <n v="1"/>
    <n v="0"/>
    <n v="1"/>
    <x v="8"/>
    <x v="0"/>
    <x v="2"/>
    <n v="1"/>
    <n v="0.04"/>
    <n v="0.13639999999999999"/>
    <n v="0.49"/>
    <n v="0"/>
    <n v="6"/>
    <n v="171"/>
    <n v="177"/>
    <x v="2"/>
    <x v="0"/>
    <x v="1"/>
    <x v="2"/>
    <x v="1"/>
    <x v="4"/>
    <s v="⬆ Spike"/>
  </r>
  <r>
    <n v="534"/>
    <d v="2011-01-24T00:00:00"/>
    <n v="1"/>
    <n v="0"/>
    <n v="1"/>
    <x v="9"/>
    <x v="0"/>
    <x v="2"/>
    <n v="1"/>
    <n v="0.06"/>
    <n v="0.1515"/>
    <n v="0.41"/>
    <n v="0"/>
    <n v="4"/>
    <n v="98"/>
    <n v="102"/>
    <x v="2"/>
    <x v="0"/>
    <x v="1"/>
    <x v="1"/>
    <x v="1"/>
    <x v="4"/>
    <s v="Normal"/>
  </r>
  <r>
    <n v="535"/>
    <d v="2011-01-24T00:00:00"/>
    <n v="1"/>
    <n v="0"/>
    <n v="1"/>
    <x v="10"/>
    <x v="0"/>
    <x v="2"/>
    <n v="1"/>
    <n v="0.1"/>
    <n v="0.13639999999999999"/>
    <n v="0.42"/>
    <n v="0"/>
    <n v="6"/>
    <n v="34"/>
    <n v="40"/>
    <x v="2"/>
    <x v="0"/>
    <x v="0"/>
    <x v="0"/>
    <x v="1"/>
    <x v="3"/>
    <s v="Normal"/>
  </r>
  <r>
    <n v="536"/>
    <d v="2011-01-24T00:00:00"/>
    <n v="1"/>
    <n v="0"/>
    <n v="1"/>
    <x v="11"/>
    <x v="0"/>
    <x v="2"/>
    <n v="1"/>
    <n v="0.1"/>
    <n v="0.1212"/>
    <n v="0.46"/>
    <n v="0.1343"/>
    <n v="3"/>
    <n v="43"/>
    <n v="46"/>
    <x v="2"/>
    <x v="0"/>
    <x v="0"/>
    <x v="0"/>
    <x v="1"/>
    <x v="3"/>
    <s v="Normal"/>
  </r>
  <r>
    <n v="537"/>
    <d v="2011-01-24T00:00:00"/>
    <n v="1"/>
    <n v="0"/>
    <n v="1"/>
    <x v="12"/>
    <x v="0"/>
    <x v="2"/>
    <n v="2"/>
    <n v="0.12"/>
    <n v="0.13639999999999999"/>
    <n v="0.42"/>
    <n v="0.19400000000000001"/>
    <n v="11"/>
    <n v="52"/>
    <n v="63"/>
    <x v="2"/>
    <x v="1"/>
    <x v="0"/>
    <x v="1"/>
    <x v="2"/>
    <x v="3"/>
    <s v="Normal"/>
  </r>
  <r>
    <n v="538"/>
    <d v="2011-01-24T00:00:00"/>
    <n v="1"/>
    <n v="0"/>
    <n v="1"/>
    <x v="13"/>
    <x v="0"/>
    <x v="2"/>
    <n v="2"/>
    <n v="0.14000000000000001"/>
    <n v="0.13639999999999999"/>
    <n v="0.43"/>
    <n v="0.22389999999999999"/>
    <n v="6"/>
    <n v="54"/>
    <n v="60"/>
    <x v="2"/>
    <x v="1"/>
    <x v="0"/>
    <x v="1"/>
    <x v="2"/>
    <x v="3"/>
    <s v="Normal"/>
  </r>
  <r>
    <n v="539"/>
    <d v="2011-01-24T00:00:00"/>
    <n v="1"/>
    <n v="0"/>
    <n v="1"/>
    <x v="14"/>
    <x v="0"/>
    <x v="2"/>
    <n v="2"/>
    <n v="0.14000000000000001"/>
    <n v="0.13639999999999999"/>
    <n v="0.46"/>
    <n v="0.22389999999999999"/>
    <n v="2"/>
    <n v="43"/>
    <n v="45"/>
    <x v="2"/>
    <x v="1"/>
    <x v="0"/>
    <x v="0"/>
    <x v="2"/>
    <x v="3"/>
    <s v="Normal"/>
  </r>
  <r>
    <n v="540"/>
    <d v="2011-01-24T00:00:00"/>
    <n v="1"/>
    <n v="0"/>
    <n v="1"/>
    <x v="15"/>
    <x v="0"/>
    <x v="2"/>
    <n v="1"/>
    <n v="0.16"/>
    <n v="0.16669999999999999"/>
    <n v="0.4"/>
    <n v="0.16420000000000001"/>
    <n v="7"/>
    <n v="50"/>
    <n v="57"/>
    <x v="2"/>
    <x v="0"/>
    <x v="0"/>
    <x v="1"/>
    <x v="2"/>
    <x v="3"/>
    <s v="Normal"/>
  </r>
  <r>
    <n v="541"/>
    <d v="2011-01-24T00:00:00"/>
    <n v="1"/>
    <n v="0"/>
    <n v="1"/>
    <x v="16"/>
    <x v="0"/>
    <x v="2"/>
    <n v="1"/>
    <n v="0.16"/>
    <n v="0.1515"/>
    <n v="0.47"/>
    <n v="0.25369999999999998"/>
    <n v="4"/>
    <n v="66"/>
    <n v="70"/>
    <x v="2"/>
    <x v="0"/>
    <x v="0"/>
    <x v="1"/>
    <x v="2"/>
    <x v="3"/>
    <s v="Normal"/>
  </r>
  <r>
    <n v="542"/>
    <d v="2011-01-24T00:00:00"/>
    <n v="1"/>
    <n v="0"/>
    <n v="1"/>
    <x v="17"/>
    <x v="0"/>
    <x v="2"/>
    <n v="1"/>
    <n v="0.14000000000000001"/>
    <n v="0.1212"/>
    <n v="0.5"/>
    <n v="0.25369999999999998"/>
    <n v="6"/>
    <n v="178"/>
    <n v="184"/>
    <x v="2"/>
    <x v="0"/>
    <x v="1"/>
    <x v="2"/>
    <x v="2"/>
    <x v="3"/>
    <s v="⬆ Spike"/>
  </r>
  <r>
    <n v="543"/>
    <d v="2011-01-24T00:00:00"/>
    <n v="1"/>
    <n v="0"/>
    <n v="1"/>
    <x v="18"/>
    <x v="0"/>
    <x v="2"/>
    <n v="1"/>
    <n v="0.14000000000000001"/>
    <n v="0.13639999999999999"/>
    <n v="0.59"/>
    <n v="0.19400000000000001"/>
    <n v="8"/>
    <n v="145"/>
    <n v="153"/>
    <x v="2"/>
    <x v="0"/>
    <x v="1"/>
    <x v="2"/>
    <x v="3"/>
    <x v="3"/>
    <s v="Normal"/>
  </r>
  <r>
    <n v="544"/>
    <d v="2011-01-24T00:00:00"/>
    <n v="1"/>
    <n v="0"/>
    <n v="1"/>
    <x v="19"/>
    <x v="0"/>
    <x v="2"/>
    <n v="1"/>
    <n v="0.14000000000000001"/>
    <n v="0.1515"/>
    <n v="0.54"/>
    <n v="0.16420000000000001"/>
    <n v="5"/>
    <n v="101"/>
    <n v="106"/>
    <x v="2"/>
    <x v="0"/>
    <x v="1"/>
    <x v="1"/>
    <x v="3"/>
    <x v="3"/>
    <s v="Normal"/>
  </r>
  <r>
    <n v="545"/>
    <d v="2011-01-24T00:00:00"/>
    <n v="1"/>
    <n v="0"/>
    <n v="1"/>
    <x v="20"/>
    <x v="0"/>
    <x v="2"/>
    <n v="1"/>
    <n v="0.14000000000000001"/>
    <n v="0.13639999999999999"/>
    <n v="0.59"/>
    <n v="0.19400000000000001"/>
    <n v="1"/>
    <n v="80"/>
    <n v="81"/>
    <x v="2"/>
    <x v="0"/>
    <x v="0"/>
    <x v="1"/>
    <x v="3"/>
    <x v="3"/>
    <s v="Normal"/>
  </r>
  <r>
    <n v="546"/>
    <d v="2011-01-24T00:00:00"/>
    <n v="1"/>
    <n v="0"/>
    <n v="1"/>
    <x v="21"/>
    <x v="0"/>
    <x v="2"/>
    <n v="1"/>
    <n v="0.14000000000000001"/>
    <n v="0.1515"/>
    <n v="0.63"/>
    <n v="0.16420000000000001"/>
    <n v="6"/>
    <n v="53"/>
    <n v="59"/>
    <x v="2"/>
    <x v="0"/>
    <x v="0"/>
    <x v="1"/>
    <x v="3"/>
    <x v="3"/>
    <s v="Normal"/>
  </r>
  <r>
    <n v="547"/>
    <d v="2011-01-24T00:00:00"/>
    <n v="1"/>
    <n v="0"/>
    <n v="1"/>
    <x v="22"/>
    <x v="0"/>
    <x v="2"/>
    <n v="2"/>
    <n v="0.14000000000000001"/>
    <n v="0.13639999999999999"/>
    <n v="0.63"/>
    <n v="0.22389999999999999"/>
    <n v="3"/>
    <n v="32"/>
    <n v="35"/>
    <x v="2"/>
    <x v="1"/>
    <x v="0"/>
    <x v="0"/>
    <x v="3"/>
    <x v="3"/>
    <s v="Normal"/>
  </r>
  <r>
    <n v="548"/>
    <d v="2011-01-24T00:00:00"/>
    <n v="1"/>
    <n v="0"/>
    <n v="1"/>
    <x v="23"/>
    <x v="0"/>
    <x v="2"/>
    <n v="2"/>
    <n v="0.16"/>
    <n v="0.1515"/>
    <n v="0.64"/>
    <n v="0.25369999999999998"/>
    <n v="3"/>
    <n v="21"/>
    <n v="24"/>
    <x v="2"/>
    <x v="1"/>
    <x v="0"/>
    <x v="0"/>
    <x v="3"/>
    <x v="3"/>
    <s v="Normal"/>
  </r>
  <r>
    <n v="549"/>
    <d v="2011-01-25T00:00:00"/>
    <n v="1"/>
    <n v="0"/>
    <n v="1"/>
    <x v="0"/>
    <x v="0"/>
    <x v="3"/>
    <n v="2"/>
    <n v="0.16"/>
    <n v="0.13639999999999999"/>
    <n v="0.69"/>
    <n v="0.28360000000000002"/>
    <n v="3"/>
    <n v="6"/>
    <n v="9"/>
    <x v="3"/>
    <x v="1"/>
    <x v="0"/>
    <x v="0"/>
    <x v="0"/>
    <x v="3"/>
    <s v="Normal"/>
  </r>
  <r>
    <n v="550"/>
    <d v="2011-01-25T00:00:00"/>
    <n v="1"/>
    <n v="0"/>
    <n v="1"/>
    <x v="1"/>
    <x v="0"/>
    <x v="3"/>
    <n v="2"/>
    <n v="0.16"/>
    <n v="0.16669999999999999"/>
    <n v="0.69"/>
    <n v="0.16420000000000001"/>
    <n v="0"/>
    <n v="5"/>
    <n v="5"/>
    <x v="3"/>
    <x v="1"/>
    <x v="0"/>
    <x v="0"/>
    <x v="0"/>
    <x v="3"/>
    <s v="Normal"/>
  </r>
  <r>
    <n v="551"/>
    <d v="2011-01-25T00:00:00"/>
    <n v="1"/>
    <n v="0"/>
    <n v="1"/>
    <x v="2"/>
    <x v="0"/>
    <x v="3"/>
    <n v="1"/>
    <n v="0.16"/>
    <n v="0.1515"/>
    <n v="0.69"/>
    <n v="0.22389999999999999"/>
    <n v="0"/>
    <n v="2"/>
    <n v="2"/>
    <x v="3"/>
    <x v="0"/>
    <x v="0"/>
    <x v="0"/>
    <x v="0"/>
    <x v="3"/>
    <s v="Normal"/>
  </r>
  <r>
    <n v="552"/>
    <d v="2011-01-25T00:00:00"/>
    <n v="1"/>
    <n v="0"/>
    <n v="1"/>
    <x v="4"/>
    <x v="0"/>
    <x v="3"/>
    <n v="1"/>
    <n v="0.14000000000000001"/>
    <n v="0.16669999999999999"/>
    <n v="0.74"/>
    <n v="0.1045"/>
    <n v="0"/>
    <n v="1"/>
    <n v="1"/>
    <x v="3"/>
    <x v="0"/>
    <x v="0"/>
    <x v="0"/>
    <x v="0"/>
    <x v="3"/>
    <s v="Normal"/>
  </r>
  <r>
    <n v="553"/>
    <d v="2011-01-25T00:00:00"/>
    <n v="1"/>
    <n v="0"/>
    <n v="1"/>
    <x v="5"/>
    <x v="0"/>
    <x v="3"/>
    <n v="1"/>
    <n v="0.14000000000000001"/>
    <n v="0.13639999999999999"/>
    <n v="0.74"/>
    <n v="0.22389999999999999"/>
    <n v="0"/>
    <n v="9"/>
    <n v="9"/>
    <x v="3"/>
    <x v="0"/>
    <x v="0"/>
    <x v="0"/>
    <x v="0"/>
    <x v="3"/>
    <s v="Normal"/>
  </r>
  <r>
    <n v="554"/>
    <d v="2011-01-25T00:00:00"/>
    <n v="1"/>
    <n v="0"/>
    <n v="1"/>
    <x v="6"/>
    <x v="0"/>
    <x v="3"/>
    <n v="1"/>
    <n v="0.16"/>
    <n v="0.18179999999999999"/>
    <n v="0.74"/>
    <n v="0.1045"/>
    <n v="1"/>
    <n v="35"/>
    <n v="36"/>
    <x v="3"/>
    <x v="0"/>
    <x v="0"/>
    <x v="0"/>
    <x v="1"/>
    <x v="3"/>
    <s v="Normal"/>
  </r>
  <r>
    <n v="555"/>
    <d v="2011-01-25T00:00:00"/>
    <n v="1"/>
    <n v="0"/>
    <n v="1"/>
    <x v="7"/>
    <x v="0"/>
    <x v="3"/>
    <n v="1"/>
    <n v="0.16"/>
    <n v="0.1515"/>
    <n v="0.74"/>
    <n v="0.22389999999999999"/>
    <n v="5"/>
    <n v="103"/>
    <n v="108"/>
    <x v="3"/>
    <x v="0"/>
    <x v="1"/>
    <x v="1"/>
    <x v="1"/>
    <x v="3"/>
    <s v="Normal"/>
  </r>
  <r>
    <n v="556"/>
    <d v="2011-01-25T00:00:00"/>
    <n v="1"/>
    <n v="0"/>
    <n v="1"/>
    <x v="8"/>
    <x v="0"/>
    <x v="3"/>
    <n v="2"/>
    <n v="0.16"/>
    <n v="0.18179999999999999"/>
    <n v="0.74"/>
    <n v="0.1343"/>
    <n v="5"/>
    <n v="233"/>
    <n v="238"/>
    <x v="3"/>
    <x v="1"/>
    <x v="1"/>
    <x v="2"/>
    <x v="1"/>
    <x v="3"/>
    <s v="⬆ Spike"/>
  </r>
  <r>
    <n v="557"/>
    <d v="2011-01-25T00:00:00"/>
    <n v="1"/>
    <n v="0"/>
    <n v="1"/>
    <x v="9"/>
    <x v="0"/>
    <x v="3"/>
    <n v="2"/>
    <n v="0.2"/>
    <n v="0.2273"/>
    <n v="0.64"/>
    <n v="8.9599999999999999E-2"/>
    <n v="10"/>
    <n v="134"/>
    <n v="144"/>
    <x v="3"/>
    <x v="1"/>
    <x v="1"/>
    <x v="1"/>
    <x v="1"/>
    <x v="0"/>
    <s v="Normal"/>
  </r>
  <r>
    <n v="558"/>
    <d v="2011-01-25T00:00:00"/>
    <n v="1"/>
    <n v="0"/>
    <n v="1"/>
    <x v="10"/>
    <x v="0"/>
    <x v="3"/>
    <n v="2"/>
    <n v="0.22"/>
    <n v="0.2424"/>
    <n v="0.6"/>
    <n v="0.1045"/>
    <n v="6"/>
    <n v="49"/>
    <n v="55"/>
    <x v="3"/>
    <x v="1"/>
    <x v="0"/>
    <x v="1"/>
    <x v="1"/>
    <x v="0"/>
    <s v="Normal"/>
  </r>
  <r>
    <n v="559"/>
    <d v="2011-01-25T00:00:00"/>
    <n v="1"/>
    <n v="0"/>
    <n v="1"/>
    <x v="11"/>
    <x v="0"/>
    <x v="3"/>
    <n v="2"/>
    <n v="0.24"/>
    <n v="0.2424"/>
    <n v="0.6"/>
    <n v="0.1343"/>
    <n v="6"/>
    <n v="55"/>
    <n v="61"/>
    <x v="3"/>
    <x v="1"/>
    <x v="0"/>
    <x v="1"/>
    <x v="1"/>
    <x v="0"/>
    <s v="Normal"/>
  </r>
  <r>
    <n v="560"/>
    <d v="2011-01-25T00:00:00"/>
    <n v="1"/>
    <n v="0"/>
    <n v="1"/>
    <x v="12"/>
    <x v="0"/>
    <x v="3"/>
    <n v="2"/>
    <n v="0.26"/>
    <n v="0.28789999999999999"/>
    <n v="0.56000000000000005"/>
    <n v="8.9599999999999999E-2"/>
    <n v="21"/>
    <n v="85"/>
    <n v="106"/>
    <x v="3"/>
    <x v="1"/>
    <x v="0"/>
    <x v="1"/>
    <x v="2"/>
    <x v="0"/>
    <s v="Normal"/>
  </r>
  <r>
    <n v="561"/>
    <d v="2011-01-25T00:00:00"/>
    <n v="1"/>
    <n v="0"/>
    <n v="1"/>
    <x v="13"/>
    <x v="0"/>
    <x v="3"/>
    <n v="2"/>
    <n v="0.26"/>
    <n v="0.2727"/>
    <n v="0.56000000000000005"/>
    <n v="0.1343"/>
    <n v="21"/>
    <n v="72"/>
    <n v="93"/>
    <x v="3"/>
    <x v="1"/>
    <x v="0"/>
    <x v="1"/>
    <x v="2"/>
    <x v="0"/>
    <s v="Normal"/>
  </r>
  <r>
    <n v="562"/>
    <d v="2011-01-25T00:00:00"/>
    <n v="1"/>
    <n v="0"/>
    <n v="1"/>
    <x v="14"/>
    <x v="0"/>
    <x v="3"/>
    <n v="2"/>
    <n v="0.3"/>
    <n v="0.33329999999999999"/>
    <n v="0.45"/>
    <n v="0"/>
    <n v="11"/>
    <n v="57"/>
    <n v="68"/>
    <x v="3"/>
    <x v="1"/>
    <x v="0"/>
    <x v="1"/>
    <x v="2"/>
    <x v="1"/>
    <s v="Normal"/>
  </r>
  <r>
    <n v="563"/>
    <d v="2011-01-25T00:00:00"/>
    <n v="1"/>
    <n v="0"/>
    <n v="1"/>
    <x v="15"/>
    <x v="0"/>
    <x v="3"/>
    <n v="2"/>
    <n v="0.32"/>
    <n v="0.34849999999999998"/>
    <n v="0.42"/>
    <n v="0"/>
    <n v="21"/>
    <n v="63"/>
    <n v="84"/>
    <x v="3"/>
    <x v="1"/>
    <x v="0"/>
    <x v="1"/>
    <x v="2"/>
    <x v="1"/>
    <s v="Normal"/>
  </r>
  <r>
    <n v="564"/>
    <d v="2011-01-25T00:00:00"/>
    <n v="1"/>
    <n v="0"/>
    <n v="1"/>
    <x v="16"/>
    <x v="0"/>
    <x v="3"/>
    <n v="2"/>
    <n v="0.32"/>
    <n v="0.34849999999999998"/>
    <n v="0.42"/>
    <n v="0"/>
    <n v="14"/>
    <n v="102"/>
    <n v="116"/>
    <x v="3"/>
    <x v="1"/>
    <x v="0"/>
    <x v="1"/>
    <x v="2"/>
    <x v="1"/>
    <s v="Normal"/>
  </r>
  <r>
    <n v="565"/>
    <d v="2011-01-25T00:00:00"/>
    <n v="1"/>
    <n v="0"/>
    <n v="1"/>
    <x v="17"/>
    <x v="0"/>
    <x v="3"/>
    <n v="1"/>
    <n v="0.3"/>
    <n v="0.33329999999999999"/>
    <n v="0.45"/>
    <n v="0"/>
    <n v="14"/>
    <n v="208"/>
    <n v="222"/>
    <x v="3"/>
    <x v="0"/>
    <x v="1"/>
    <x v="2"/>
    <x v="2"/>
    <x v="1"/>
    <s v="⬆ Spike"/>
  </r>
  <r>
    <n v="566"/>
    <d v="2011-01-25T00:00:00"/>
    <n v="1"/>
    <n v="0"/>
    <n v="1"/>
    <x v="18"/>
    <x v="0"/>
    <x v="3"/>
    <n v="2"/>
    <n v="0.3"/>
    <n v="0.31819999999999998"/>
    <n v="0.49"/>
    <n v="8.9599999999999999E-2"/>
    <n v="7"/>
    <n v="218"/>
    <n v="225"/>
    <x v="3"/>
    <x v="1"/>
    <x v="1"/>
    <x v="2"/>
    <x v="3"/>
    <x v="1"/>
    <s v="⬆ Spike"/>
  </r>
  <r>
    <n v="567"/>
    <d v="2011-01-25T00:00:00"/>
    <n v="1"/>
    <n v="0"/>
    <n v="1"/>
    <x v="19"/>
    <x v="0"/>
    <x v="3"/>
    <n v="2"/>
    <n v="0.26"/>
    <n v="0.2576"/>
    <n v="0.65"/>
    <n v="0.16420000000000001"/>
    <n v="13"/>
    <n v="133"/>
    <n v="146"/>
    <x v="3"/>
    <x v="1"/>
    <x v="1"/>
    <x v="1"/>
    <x v="3"/>
    <x v="0"/>
    <s v="Normal"/>
  </r>
  <r>
    <n v="568"/>
    <d v="2011-01-25T00:00:00"/>
    <n v="1"/>
    <n v="0"/>
    <n v="1"/>
    <x v="20"/>
    <x v="0"/>
    <x v="3"/>
    <n v="1"/>
    <n v="0.24"/>
    <n v="0.2273"/>
    <n v="0.65"/>
    <n v="0.19400000000000001"/>
    <n v="16"/>
    <n v="103"/>
    <n v="119"/>
    <x v="3"/>
    <x v="0"/>
    <x v="0"/>
    <x v="1"/>
    <x v="3"/>
    <x v="0"/>
    <s v="Normal"/>
  </r>
  <r>
    <n v="569"/>
    <d v="2011-01-25T00:00:00"/>
    <n v="1"/>
    <n v="0"/>
    <n v="1"/>
    <x v="21"/>
    <x v="0"/>
    <x v="3"/>
    <n v="1"/>
    <n v="0.24"/>
    <n v="0.2273"/>
    <n v="0.65"/>
    <n v="0.19400000000000001"/>
    <n v="5"/>
    <n v="40"/>
    <n v="45"/>
    <x v="3"/>
    <x v="0"/>
    <x v="0"/>
    <x v="0"/>
    <x v="3"/>
    <x v="0"/>
    <s v="Normal"/>
  </r>
  <r>
    <n v="570"/>
    <d v="2011-01-25T00:00:00"/>
    <n v="1"/>
    <n v="0"/>
    <n v="1"/>
    <x v="22"/>
    <x v="0"/>
    <x v="3"/>
    <n v="1"/>
    <n v="0.22"/>
    <n v="0.2273"/>
    <n v="0.64"/>
    <n v="0.16420000000000001"/>
    <n v="4"/>
    <n v="49"/>
    <n v="53"/>
    <x v="3"/>
    <x v="0"/>
    <x v="0"/>
    <x v="1"/>
    <x v="3"/>
    <x v="0"/>
    <s v="Normal"/>
  </r>
  <r>
    <n v="571"/>
    <d v="2011-01-25T00:00:00"/>
    <n v="1"/>
    <n v="0"/>
    <n v="1"/>
    <x v="23"/>
    <x v="0"/>
    <x v="3"/>
    <n v="2"/>
    <n v="0.22"/>
    <n v="0.2273"/>
    <n v="0.64"/>
    <n v="0.16420000000000001"/>
    <n v="3"/>
    <n v="37"/>
    <n v="40"/>
    <x v="3"/>
    <x v="1"/>
    <x v="0"/>
    <x v="0"/>
    <x v="3"/>
    <x v="0"/>
    <s v="Normal"/>
  </r>
  <r>
    <n v="572"/>
    <d v="2011-01-26T00:00:00"/>
    <n v="1"/>
    <n v="0"/>
    <n v="1"/>
    <x v="0"/>
    <x v="0"/>
    <x v="4"/>
    <n v="2"/>
    <n v="0.22"/>
    <n v="0.2273"/>
    <n v="0.69"/>
    <n v="0.1343"/>
    <n v="3"/>
    <n v="14"/>
    <n v="17"/>
    <x v="4"/>
    <x v="1"/>
    <x v="0"/>
    <x v="0"/>
    <x v="0"/>
    <x v="0"/>
    <s v="Normal"/>
  </r>
  <r>
    <n v="573"/>
    <d v="2011-01-26T00:00:00"/>
    <n v="1"/>
    <n v="0"/>
    <n v="1"/>
    <x v="1"/>
    <x v="0"/>
    <x v="4"/>
    <n v="2"/>
    <n v="0.24"/>
    <n v="0.2424"/>
    <n v="0.65"/>
    <n v="0.1343"/>
    <n v="0"/>
    <n v="5"/>
    <n v="5"/>
    <x v="4"/>
    <x v="1"/>
    <x v="0"/>
    <x v="0"/>
    <x v="0"/>
    <x v="0"/>
    <s v="Normal"/>
  </r>
  <r>
    <n v="574"/>
    <d v="2011-01-26T00:00:00"/>
    <n v="1"/>
    <n v="0"/>
    <n v="1"/>
    <x v="2"/>
    <x v="0"/>
    <x v="4"/>
    <n v="3"/>
    <n v="0.22"/>
    <n v="0.2273"/>
    <n v="0.69"/>
    <n v="0.19400000000000001"/>
    <n v="3"/>
    <n v="7"/>
    <n v="10"/>
    <x v="4"/>
    <x v="2"/>
    <x v="0"/>
    <x v="0"/>
    <x v="0"/>
    <x v="0"/>
    <s v="Normal"/>
  </r>
  <r>
    <n v="575"/>
    <d v="2011-01-26T00:00:00"/>
    <n v="1"/>
    <n v="0"/>
    <n v="1"/>
    <x v="5"/>
    <x v="0"/>
    <x v="4"/>
    <n v="3"/>
    <n v="0.2"/>
    <n v="0.18179999999999999"/>
    <n v="0.86"/>
    <n v="0.28360000000000002"/>
    <n v="0"/>
    <n v="1"/>
    <n v="1"/>
    <x v="4"/>
    <x v="2"/>
    <x v="0"/>
    <x v="0"/>
    <x v="0"/>
    <x v="0"/>
    <s v="Normal"/>
  </r>
  <r>
    <n v="576"/>
    <d v="2011-01-26T00:00:00"/>
    <n v="1"/>
    <n v="0"/>
    <n v="1"/>
    <x v="6"/>
    <x v="0"/>
    <x v="4"/>
    <n v="3"/>
    <n v="0.2"/>
    <n v="0.18179999999999999"/>
    <n v="0.86"/>
    <n v="0.28360000000000002"/>
    <n v="0"/>
    <n v="8"/>
    <n v="8"/>
    <x v="4"/>
    <x v="2"/>
    <x v="0"/>
    <x v="0"/>
    <x v="1"/>
    <x v="0"/>
    <s v="Normal"/>
  </r>
  <r>
    <n v="577"/>
    <d v="2011-01-26T00:00:00"/>
    <n v="1"/>
    <n v="0"/>
    <n v="1"/>
    <x v="7"/>
    <x v="0"/>
    <x v="4"/>
    <n v="3"/>
    <n v="0.22"/>
    <n v="0.21210000000000001"/>
    <n v="0.87"/>
    <n v="0.29849999999999999"/>
    <n v="1"/>
    <n v="29"/>
    <n v="30"/>
    <x v="4"/>
    <x v="2"/>
    <x v="1"/>
    <x v="0"/>
    <x v="1"/>
    <x v="0"/>
    <s v="Normal"/>
  </r>
  <r>
    <n v="578"/>
    <d v="2011-01-26T00:00:00"/>
    <n v="1"/>
    <n v="0"/>
    <n v="1"/>
    <x v="8"/>
    <x v="0"/>
    <x v="4"/>
    <n v="3"/>
    <n v="0.22"/>
    <n v="0.21210000000000001"/>
    <n v="0.87"/>
    <n v="0.29849999999999999"/>
    <n v="3"/>
    <n v="69"/>
    <n v="72"/>
    <x v="4"/>
    <x v="2"/>
    <x v="1"/>
    <x v="1"/>
    <x v="1"/>
    <x v="0"/>
    <s v="Normal"/>
  </r>
  <r>
    <n v="579"/>
    <d v="2011-01-26T00:00:00"/>
    <n v="1"/>
    <n v="0"/>
    <n v="1"/>
    <x v="9"/>
    <x v="0"/>
    <x v="4"/>
    <n v="3"/>
    <n v="0.22"/>
    <n v="0.21210000000000001"/>
    <n v="0.87"/>
    <n v="0.29849999999999999"/>
    <n v="3"/>
    <n v="55"/>
    <n v="58"/>
    <x v="4"/>
    <x v="2"/>
    <x v="1"/>
    <x v="1"/>
    <x v="1"/>
    <x v="0"/>
    <s v="Normal"/>
  </r>
  <r>
    <n v="580"/>
    <d v="2011-01-26T00:00:00"/>
    <n v="1"/>
    <n v="0"/>
    <n v="1"/>
    <x v="10"/>
    <x v="0"/>
    <x v="4"/>
    <n v="3"/>
    <n v="0.22"/>
    <n v="0.21210000000000001"/>
    <n v="0.93"/>
    <n v="0.28360000000000002"/>
    <n v="2"/>
    <n v="26"/>
    <n v="28"/>
    <x v="4"/>
    <x v="2"/>
    <x v="0"/>
    <x v="0"/>
    <x v="1"/>
    <x v="0"/>
    <s v="Normal"/>
  </r>
  <r>
    <n v="581"/>
    <d v="2011-01-26T00:00:00"/>
    <n v="1"/>
    <n v="0"/>
    <n v="1"/>
    <x v="11"/>
    <x v="0"/>
    <x v="4"/>
    <n v="3"/>
    <n v="0.22"/>
    <n v="0.19700000000000001"/>
    <n v="0.93"/>
    <n v="0.32840000000000003"/>
    <n v="6"/>
    <n v="35"/>
    <n v="41"/>
    <x v="4"/>
    <x v="2"/>
    <x v="0"/>
    <x v="0"/>
    <x v="1"/>
    <x v="0"/>
    <s v="Normal"/>
  </r>
  <r>
    <n v="582"/>
    <d v="2011-01-26T00:00:00"/>
    <n v="1"/>
    <n v="0"/>
    <n v="1"/>
    <x v="12"/>
    <x v="0"/>
    <x v="4"/>
    <n v="3"/>
    <n v="0.22"/>
    <n v="0.19700000000000001"/>
    <n v="0.93"/>
    <n v="0.32840000000000003"/>
    <n v="7"/>
    <n v="41"/>
    <n v="48"/>
    <x v="4"/>
    <x v="2"/>
    <x v="0"/>
    <x v="0"/>
    <x v="2"/>
    <x v="0"/>
    <s v="Normal"/>
  </r>
  <r>
    <n v="583"/>
    <d v="2011-01-26T00:00:00"/>
    <n v="1"/>
    <n v="0"/>
    <n v="1"/>
    <x v="13"/>
    <x v="0"/>
    <x v="4"/>
    <n v="3"/>
    <n v="0.22"/>
    <n v="0.19700000000000001"/>
    <n v="0.93"/>
    <n v="0.32840000000000003"/>
    <n v="4"/>
    <n v="43"/>
    <n v="47"/>
    <x v="4"/>
    <x v="2"/>
    <x v="0"/>
    <x v="0"/>
    <x v="2"/>
    <x v="0"/>
    <s v="Normal"/>
  </r>
  <r>
    <n v="584"/>
    <d v="2011-01-26T00:00:00"/>
    <n v="1"/>
    <n v="0"/>
    <n v="1"/>
    <x v="14"/>
    <x v="0"/>
    <x v="4"/>
    <n v="3"/>
    <n v="0.22"/>
    <n v="0.19700000000000001"/>
    <n v="0.93"/>
    <n v="0.35820000000000002"/>
    <n v="0"/>
    <n v="36"/>
    <n v="36"/>
    <x v="4"/>
    <x v="2"/>
    <x v="0"/>
    <x v="0"/>
    <x v="2"/>
    <x v="0"/>
    <s v="Normal"/>
  </r>
  <r>
    <n v="585"/>
    <d v="2011-01-26T00:00:00"/>
    <n v="1"/>
    <n v="0"/>
    <n v="1"/>
    <x v="15"/>
    <x v="0"/>
    <x v="4"/>
    <n v="3"/>
    <n v="0.22"/>
    <n v="0.18179999999999999"/>
    <n v="0.93"/>
    <n v="0.4627"/>
    <n v="1"/>
    <n v="42"/>
    <n v="43"/>
    <x v="4"/>
    <x v="2"/>
    <x v="0"/>
    <x v="0"/>
    <x v="2"/>
    <x v="0"/>
    <s v="Normal"/>
  </r>
  <r>
    <n v="586"/>
    <d v="2011-01-26T00:00:00"/>
    <n v="1"/>
    <n v="0"/>
    <n v="1"/>
    <x v="16"/>
    <x v="0"/>
    <x v="4"/>
    <n v="4"/>
    <n v="0.22"/>
    <n v="0.19700000000000001"/>
    <n v="0.93"/>
    <n v="0.32840000000000003"/>
    <n v="1"/>
    <n v="35"/>
    <n v="36"/>
    <x v="4"/>
    <x v="3"/>
    <x v="0"/>
    <x v="0"/>
    <x v="2"/>
    <x v="0"/>
    <s v="Normal"/>
  </r>
  <r>
    <n v="587"/>
    <d v="2011-01-26T00:00:00"/>
    <n v="1"/>
    <n v="0"/>
    <n v="1"/>
    <x v="17"/>
    <x v="0"/>
    <x v="4"/>
    <n v="3"/>
    <n v="0.2"/>
    <n v="0.18179999999999999"/>
    <n v="0.93"/>
    <n v="0.35820000000000002"/>
    <n v="0"/>
    <n v="26"/>
    <n v="26"/>
    <x v="4"/>
    <x v="2"/>
    <x v="1"/>
    <x v="0"/>
    <x v="2"/>
    <x v="0"/>
    <s v="Normal"/>
  </r>
  <r>
    <n v="588"/>
    <d v="2011-01-27T00:00:00"/>
    <n v="1"/>
    <n v="0"/>
    <n v="1"/>
    <x v="16"/>
    <x v="0"/>
    <x v="5"/>
    <n v="1"/>
    <n v="0.22"/>
    <n v="0.2273"/>
    <n v="0.55000000000000004"/>
    <n v="0.19400000000000001"/>
    <n v="1"/>
    <n v="23"/>
    <n v="24"/>
    <x v="5"/>
    <x v="0"/>
    <x v="0"/>
    <x v="0"/>
    <x v="2"/>
    <x v="0"/>
    <s v="Normal"/>
  </r>
  <r>
    <n v="589"/>
    <d v="2011-01-27T00:00:00"/>
    <n v="1"/>
    <n v="0"/>
    <n v="1"/>
    <x v="17"/>
    <x v="0"/>
    <x v="5"/>
    <n v="1"/>
    <n v="0.22"/>
    <n v="0.2424"/>
    <n v="0.55000000000000004"/>
    <n v="0.1045"/>
    <n v="2"/>
    <n v="82"/>
    <n v="84"/>
    <x v="5"/>
    <x v="0"/>
    <x v="1"/>
    <x v="1"/>
    <x v="2"/>
    <x v="0"/>
    <s v="Normal"/>
  </r>
  <r>
    <n v="590"/>
    <d v="2011-01-27T00:00:00"/>
    <n v="1"/>
    <n v="0"/>
    <n v="1"/>
    <x v="18"/>
    <x v="0"/>
    <x v="5"/>
    <n v="1"/>
    <n v="0.2"/>
    <n v="0.2273"/>
    <n v="0.69"/>
    <n v="8.9599999999999999E-2"/>
    <n v="3"/>
    <n v="101"/>
    <n v="104"/>
    <x v="5"/>
    <x v="0"/>
    <x v="1"/>
    <x v="1"/>
    <x v="3"/>
    <x v="0"/>
    <s v="Normal"/>
  </r>
  <r>
    <n v="591"/>
    <d v="2011-01-27T00:00:00"/>
    <n v="1"/>
    <n v="0"/>
    <n v="1"/>
    <x v="19"/>
    <x v="0"/>
    <x v="5"/>
    <n v="1"/>
    <n v="0.2"/>
    <n v="0.2273"/>
    <n v="0.69"/>
    <n v="8.9599999999999999E-2"/>
    <n v="3"/>
    <n v="76"/>
    <n v="79"/>
    <x v="5"/>
    <x v="0"/>
    <x v="1"/>
    <x v="1"/>
    <x v="3"/>
    <x v="0"/>
    <s v="Normal"/>
  </r>
  <r>
    <n v="592"/>
    <d v="2011-01-27T00:00:00"/>
    <n v="1"/>
    <n v="0"/>
    <n v="1"/>
    <x v="20"/>
    <x v="0"/>
    <x v="5"/>
    <n v="1"/>
    <n v="0.18"/>
    <n v="0.21210000000000001"/>
    <n v="0.74"/>
    <n v="8.9599999999999999E-2"/>
    <n v="4"/>
    <n v="55"/>
    <n v="59"/>
    <x v="5"/>
    <x v="0"/>
    <x v="0"/>
    <x v="1"/>
    <x v="3"/>
    <x v="3"/>
    <s v="Normal"/>
  </r>
  <r>
    <n v="593"/>
    <d v="2011-01-27T00:00:00"/>
    <n v="1"/>
    <n v="0"/>
    <n v="1"/>
    <x v="21"/>
    <x v="0"/>
    <x v="5"/>
    <n v="1"/>
    <n v="0.18"/>
    <n v="0.21210000000000001"/>
    <n v="0.74"/>
    <n v="8.9599999999999999E-2"/>
    <n v="2"/>
    <n v="36"/>
    <n v="38"/>
    <x v="5"/>
    <x v="0"/>
    <x v="0"/>
    <x v="0"/>
    <x v="3"/>
    <x v="3"/>
    <s v="Normal"/>
  </r>
  <r>
    <n v="594"/>
    <d v="2011-01-27T00:00:00"/>
    <n v="1"/>
    <n v="0"/>
    <n v="1"/>
    <x v="22"/>
    <x v="0"/>
    <x v="5"/>
    <n v="1"/>
    <n v="0.18"/>
    <n v="0.21210000000000001"/>
    <n v="0.74"/>
    <n v="8.9599999999999999E-2"/>
    <n v="0"/>
    <n v="27"/>
    <n v="27"/>
    <x v="5"/>
    <x v="0"/>
    <x v="0"/>
    <x v="0"/>
    <x v="3"/>
    <x v="3"/>
    <s v="Normal"/>
  </r>
  <r>
    <n v="595"/>
    <d v="2011-01-27T00:00:00"/>
    <n v="1"/>
    <n v="0"/>
    <n v="1"/>
    <x v="23"/>
    <x v="0"/>
    <x v="5"/>
    <n v="1"/>
    <n v="0.18"/>
    <n v="0.19700000000000001"/>
    <n v="0.8"/>
    <n v="0.16420000000000001"/>
    <n v="0"/>
    <n v="16"/>
    <n v="16"/>
    <x v="5"/>
    <x v="0"/>
    <x v="0"/>
    <x v="0"/>
    <x v="3"/>
    <x v="3"/>
    <s v="Normal"/>
  </r>
  <r>
    <n v="596"/>
    <d v="2011-01-28T00:00:00"/>
    <n v="1"/>
    <n v="0"/>
    <n v="1"/>
    <x v="0"/>
    <x v="0"/>
    <x v="6"/>
    <n v="2"/>
    <n v="0.2"/>
    <n v="0.21210000000000001"/>
    <n v="0.75"/>
    <n v="0.1343"/>
    <n v="0"/>
    <n v="9"/>
    <n v="9"/>
    <x v="6"/>
    <x v="1"/>
    <x v="0"/>
    <x v="0"/>
    <x v="0"/>
    <x v="0"/>
    <s v="Normal"/>
  </r>
  <r>
    <n v="597"/>
    <d v="2011-01-28T00:00:00"/>
    <n v="1"/>
    <n v="0"/>
    <n v="1"/>
    <x v="1"/>
    <x v="0"/>
    <x v="6"/>
    <n v="2"/>
    <n v="0.2"/>
    <n v="0.21210000000000001"/>
    <n v="0.75"/>
    <n v="0.1343"/>
    <n v="1"/>
    <n v="2"/>
    <n v="3"/>
    <x v="6"/>
    <x v="1"/>
    <x v="0"/>
    <x v="0"/>
    <x v="0"/>
    <x v="0"/>
    <s v="Normal"/>
  </r>
  <r>
    <n v="598"/>
    <d v="2011-01-28T00:00:00"/>
    <n v="1"/>
    <n v="0"/>
    <n v="1"/>
    <x v="2"/>
    <x v="0"/>
    <x v="6"/>
    <n v="2"/>
    <n v="0.2"/>
    <n v="0.21210000000000001"/>
    <n v="0.75"/>
    <n v="0.16420000000000001"/>
    <n v="0"/>
    <n v="2"/>
    <n v="2"/>
    <x v="6"/>
    <x v="1"/>
    <x v="0"/>
    <x v="0"/>
    <x v="0"/>
    <x v="0"/>
    <s v="Normal"/>
  </r>
  <r>
    <n v="599"/>
    <d v="2011-01-28T00:00:00"/>
    <n v="1"/>
    <n v="0"/>
    <n v="1"/>
    <x v="3"/>
    <x v="0"/>
    <x v="6"/>
    <n v="2"/>
    <n v="0.2"/>
    <n v="0.2273"/>
    <n v="0.75"/>
    <n v="0.1045"/>
    <n v="1"/>
    <n v="0"/>
    <n v="1"/>
    <x v="6"/>
    <x v="1"/>
    <x v="0"/>
    <x v="0"/>
    <x v="0"/>
    <x v="0"/>
    <s v="Normal"/>
  </r>
  <r>
    <n v="600"/>
    <d v="2011-01-28T00:00:00"/>
    <n v="1"/>
    <n v="0"/>
    <n v="1"/>
    <x v="5"/>
    <x v="0"/>
    <x v="6"/>
    <n v="2"/>
    <n v="0.18"/>
    <n v="0.21210000000000001"/>
    <n v="0.8"/>
    <n v="0.1045"/>
    <n v="0"/>
    <n v="4"/>
    <n v="4"/>
    <x v="6"/>
    <x v="1"/>
    <x v="0"/>
    <x v="0"/>
    <x v="0"/>
    <x v="3"/>
    <s v="Normal"/>
  </r>
  <r>
    <n v="601"/>
    <d v="2011-01-28T00:00:00"/>
    <n v="1"/>
    <n v="0"/>
    <n v="1"/>
    <x v="6"/>
    <x v="0"/>
    <x v="6"/>
    <n v="2"/>
    <n v="0.18"/>
    <n v="0.19700000000000001"/>
    <n v="0.8"/>
    <n v="0.1343"/>
    <n v="0"/>
    <n v="16"/>
    <n v="16"/>
    <x v="6"/>
    <x v="1"/>
    <x v="0"/>
    <x v="0"/>
    <x v="1"/>
    <x v="3"/>
    <s v="Normal"/>
  </r>
  <r>
    <n v="602"/>
    <d v="2011-01-28T00:00:00"/>
    <n v="1"/>
    <n v="0"/>
    <n v="1"/>
    <x v="7"/>
    <x v="0"/>
    <x v="6"/>
    <n v="2"/>
    <n v="0.16"/>
    <n v="0.19700000000000001"/>
    <n v="0.86"/>
    <n v="8.9599999999999999E-2"/>
    <n v="2"/>
    <n v="58"/>
    <n v="60"/>
    <x v="6"/>
    <x v="1"/>
    <x v="1"/>
    <x v="1"/>
    <x v="1"/>
    <x v="3"/>
    <s v="Normal"/>
  </r>
  <r>
    <n v="603"/>
    <d v="2011-01-28T00:00:00"/>
    <n v="1"/>
    <n v="0"/>
    <n v="1"/>
    <x v="8"/>
    <x v="0"/>
    <x v="6"/>
    <n v="2"/>
    <n v="0.16"/>
    <n v="0.19700000000000001"/>
    <n v="0.86"/>
    <n v="8.9599999999999999E-2"/>
    <n v="2"/>
    <n v="155"/>
    <n v="157"/>
    <x v="6"/>
    <x v="1"/>
    <x v="1"/>
    <x v="2"/>
    <x v="1"/>
    <x v="3"/>
    <s v="Normal"/>
  </r>
  <r>
    <n v="604"/>
    <d v="2011-01-28T00:00:00"/>
    <n v="1"/>
    <n v="0"/>
    <n v="1"/>
    <x v="9"/>
    <x v="0"/>
    <x v="6"/>
    <n v="3"/>
    <n v="0.18"/>
    <n v="0.21210000000000001"/>
    <n v="0.86"/>
    <n v="8.9599999999999999E-2"/>
    <n v="6"/>
    <n v="95"/>
    <n v="101"/>
    <x v="6"/>
    <x v="2"/>
    <x v="1"/>
    <x v="1"/>
    <x v="1"/>
    <x v="3"/>
    <s v="Normal"/>
  </r>
  <r>
    <n v="605"/>
    <d v="2011-01-28T00:00:00"/>
    <n v="1"/>
    <n v="0"/>
    <n v="1"/>
    <x v="10"/>
    <x v="0"/>
    <x v="6"/>
    <n v="3"/>
    <n v="0.18"/>
    <n v="0.21210000000000001"/>
    <n v="0.86"/>
    <n v="0.1045"/>
    <n v="0"/>
    <n v="49"/>
    <n v="49"/>
    <x v="6"/>
    <x v="2"/>
    <x v="0"/>
    <x v="0"/>
    <x v="1"/>
    <x v="3"/>
    <s v="Normal"/>
  </r>
  <r>
    <n v="606"/>
    <d v="2011-01-28T00:00:00"/>
    <n v="1"/>
    <n v="0"/>
    <n v="1"/>
    <x v="11"/>
    <x v="0"/>
    <x v="6"/>
    <n v="3"/>
    <n v="0.18"/>
    <n v="0.21210000000000001"/>
    <n v="0.93"/>
    <n v="0.1045"/>
    <n v="0"/>
    <n v="30"/>
    <n v="30"/>
    <x v="6"/>
    <x v="2"/>
    <x v="0"/>
    <x v="0"/>
    <x v="1"/>
    <x v="3"/>
    <s v="Normal"/>
  </r>
  <r>
    <n v="607"/>
    <d v="2011-01-28T00:00:00"/>
    <n v="1"/>
    <n v="0"/>
    <n v="1"/>
    <x v="12"/>
    <x v="0"/>
    <x v="6"/>
    <n v="3"/>
    <n v="0.18"/>
    <n v="0.21210000000000001"/>
    <n v="0.93"/>
    <n v="0.1045"/>
    <n v="1"/>
    <n v="28"/>
    <n v="29"/>
    <x v="6"/>
    <x v="2"/>
    <x v="0"/>
    <x v="0"/>
    <x v="2"/>
    <x v="3"/>
    <s v="Normal"/>
  </r>
  <r>
    <n v="608"/>
    <d v="2011-01-28T00:00:00"/>
    <n v="1"/>
    <n v="0"/>
    <n v="1"/>
    <x v="13"/>
    <x v="0"/>
    <x v="6"/>
    <n v="3"/>
    <n v="0.18"/>
    <n v="0.21210000000000001"/>
    <n v="0.93"/>
    <n v="0.1045"/>
    <n v="0"/>
    <n v="31"/>
    <n v="31"/>
    <x v="6"/>
    <x v="2"/>
    <x v="0"/>
    <x v="0"/>
    <x v="2"/>
    <x v="3"/>
    <s v="Normal"/>
  </r>
  <r>
    <n v="609"/>
    <d v="2011-01-28T00:00:00"/>
    <n v="1"/>
    <n v="0"/>
    <n v="1"/>
    <x v="14"/>
    <x v="0"/>
    <x v="6"/>
    <n v="3"/>
    <n v="0.22"/>
    <n v="0.2727"/>
    <n v="0.8"/>
    <n v="0"/>
    <n v="2"/>
    <n v="36"/>
    <n v="38"/>
    <x v="6"/>
    <x v="2"/>
    <x v="0"/>
    <x v="0"/>
    <x v="2"/>
    <x v="0"/>
    <s v="Normal"/>
  </r>
  <r>
    <n v="610"/>
    <d v="2011-01-28T00:00:00"/>
    <n v="1"/>
    <n v="0"/>
    <n v="1"/>
    <x v="15"/>
    <x v="0"/>
    <x v="6"/>
    <n v="2"/>
    <n v="0.2"/>
    <n v="0.2576"/>
    <n v="0.86"/>
    <n v="0"/>
    <n v="1"/>
    <n v="40"/>
    <n v="41"/>
    <x v="6"/>
    <x v="1"/>
    <x v="0"/>
    <x v="0"/>
    <x v="2"/>
    <x v="0"/>
    <s v="Normal"/>
  </r>
  <r>
    <n v="620"/>
    <d v="2011-01-29T00:00:00"/>
    <n v="1"/>
    <n v="0"/>
    <n v="1"/>
    <x v="1"/>
    <x v="0"/>
    <x v="0"/>
    <n v="1"/>
    <n v="0.22"/>
    <n v="0.2273"/>
    <n v="0.64"/>
    <n v="0.19400000000000001"/>
    <n v="0"/>
    <n v="20"/>
    <n v="20"/>
    <x v="0"/>
    <x v="0"/>
    <x v="0"/>
    <x v="0"/>
    <x v="0"/>
    <x v="0"/>
    <s v="Normal"/>
  </r>
  <r>
    <n v="621"/>
    <d v="2011-01-29T00:00:00"/>
    <n v="1"/>
    <n v="0"/>
    <n v="1"/>
    <x v="2"/>
    <x v="0"/>
    <x v="0"/>
    <n v="1"/>
    <n v="0.22"/>
    <n v="0.2273"/>
    <n v="0.64"/>
    <n v="0.16420000000000001"/>
    <n v="0"/>
    <n v="15"/>
    <n v="15"/>
    <x v="0"/>
    <x v="0"/>
    <x v="0"/>
    <x v="0"/>
    <x v="0"/>
    <x v="0"/>
    <s v="Normal"/>
  </r>
  <r>
    <n v="622"/>
    <d v="2011-01-29T00:00:00"/>
    <n v="1"/>
    <n v="0"/>
    <n v="1"/>
    <x v="3"/>
    <x v="0"/>
    <x v="0"/>
    <n v="1"/>
    <n v="0.2"/>
    <n v="0.21210000000000001"/>
    <n v="0.64"/>
    <n v="0.1343"/>
    <n v="3"/>
    <n v="5"/>
    <n v="8"/>
    <x v="0"/>
    <x v="0"/>
    <x v="0"/>
    <x v="0"/>
    <x v="0"/>
    <x v="0"/>
    <s v="Normal"/>
  </r>
  <r>
    <n v="623"/>
    <d v="2011-01-29T00:00:00"/>
    <n v="1"/>
    <n v="0"/>
    <n v="1"/>
    <x v="4"/>
    <x v="0"/>
    <x v="0"/>
    <n v="1"/>
    <n v="0.16"/>
    <n v="0.18179999999999999"/>
    <n v="0.69"/>
    <n v="0.1045"/>
    <n v="1"/>
    <n v="2"/>
    <n v="3"/>
    <x v="0"/>
    <x v="0"/>
    <x v="0"/>
    <x v="0"/>
    <x v="0"/>
    <x v="3"/>
    <s v="Normal"/>
  </r>
  <r>
    <n v="624"/>
    <d v="2011-01-29T00:00:00"/>
    <n v="1"/>
    <n v="0"/>
    <n v="1"/>
    <x v="6"/>
    <x v="0"/>
    <x v="0"/>
    <n v="1"/>
    <n v="0.16"/>
    <n v="0.18179999999999999"/>
    <n v="0.64"/>
    <n v="0.1343"/>
    <n v="0"/>
    <n v="2"/>
    <n v="2"/>
    <x v="0"/>
    <x v="0"/>
    <x v="0"/>
    <x v="0"/>
    <x v="1"/>
    <x v="3"/>
    <s v="Normal"/>
  </r>
  <r>
    <n v="625"/>
    <d v="2011-01-29T00:00:00"/>
    <n v="1"/>
    <n v="0"/>
    <n v="1"/>
    <x v="7"/>
    <x v="0"/>
    <x v="0"/>
    <n v="1"/>
    <n v="0.16"/>
    <n v="0.18179999999999999"/>
    <n v="0.59"/>
    <n v="0.1045"/>
    <n v="1"/>
    <n v="4"/>
    <n v="5"/>
    <x v="0"/>
    <x v="0"/>
    <x v="1"/>
    <x v="0"/>
    <x v="1"/>
    <x v="3"/>
    <s v="Normal"/>
  </r>
  <r>
    <n v="626"/>
    <d v="2011-01-29T00:00:00"/>
    <n v="1"/>
    <n v="0"/>
    <n v="1"/>
    <x v="8"/>
    <x v="0"/>
    <x v="0"/>
    <n v="1"/>
    <n v="0.18"/>
    <n v="0.19700000000000001"/>
    <n v="0.55000000000000004"/>
    <n v="0.16420000000000001"/>
    <n v="3"/>
    <n v="31"/>
    <n v="34"/>
    <x v="0"/>
    <x v="0"/>
    <x v="1"/>
    <x v="0"/>
    <x v="1"/>
    <x v="3"/>
    <s v="Normal"/>
  </r>
  <r>
    <n v="627"/>
    <d v="2011-01-29T00:00:00"/>
    <n v="1"/>
    <n v="0"/>
    <n v="1"/>
    <x v="9"/>
    <x v="0"/>
    <x v="0"/>
    <n v="1"/>
    <n v="0.18"/>
    <n v="0.21210000000000001"/>
    <n v="0.59"/>
    <n v="8.9599999999999999E-2"/>
    <n v="0"/>
    <n v="34"/>
    <n v="34"/>
    <x v="0"/>
    <x v="0"/>
    <x v="1"/>
    <x v="0"/>
    <x v="1"/>
    <x v="3"/>
    <s v="Normal"/>
  </r>
  <r>
    <n v="628"/>
    <d v="2011-01-29T00:00:00"/>
    <n v="1"/>
    <n v="0"/>
    <n v="1"/>
    <x v="10"/>
    <x v="0"/>
    <x v="0"/>
    <n v="2"/>
    <n v="0.18"/>
    <n v="0.21210000000000001"/>
    <n v="0.64"/>
    <n v="0.1045"/>
    <n v="4"/>
    <n v="51"/>
    <n v="55"/>
    <x v="0"/>
    <x v="1"/>
    <x v="0"/>
    <x v="1"/>
    <x v="1"/>
    <x v="3"/>
    <s v="Normal"/>
  </r>
  <r>
    <n v="629"/>
    <d v="2011-01-29T00:00:00"/>
    <n v="1"/>
    <n v="0"/>
    <n v="1"/>
    <x v="11"/>
    <x v="0"/>
    <x v="0"/>
    <n v="2"/>
    <n v="0.18"/>
    <n v="0.19700000000000001"/>
    <n v="0.64"/>
    <n v="0.1343"/>
    <n v="4"/>
    <n v="60"/>
    <n v="64"/>
    <x v="0"/>
    <x v="1"/>
    <x v="0"/>
    <x v="1"/>
    <x v="1"/>
    <x v="3"/>
    <s v="Normal"/>
  </r>
  <r>
    <n v="630"/>
    <d v="2011-01-29T00:00:00"/>
    <n v="1"/>
    <n v="0"/>
    <n v="1"/>
    <x v="12"/>
    <x v="0"/>
    <x v="0"/>
    <n v="2"/>
    <n v="0.2"/>
    <n v="0.19700000000000001"/>
    <n v="0.59"/>
    <n v="0.19400000000000001"/>
    <n v="12"/>
    <n v="66"/>
    <n v="78"/>
    <x v="0"/>
    <x v="1"/>
    <x v="0"/>
    <x v="1"/>
    <x v="2"/>
    <x v="0"/>
    <s v="Normal"/>
  </r>
  <r>
    <n v="631"/>
    <d v="2011-01-29T00:00:00"/>
    <n v="1"/>
    <n v="0"/>
    <n v="1"/>
    <x v="13"/>
    <x v="0"/>
    <x v="0"/>
    <n v="2"/>
    <n v="0.22"/>
    <n v="0.2273"/>
    <n v="0.55000000000000004"/>
    <n v="0.16420000000000001"/>
    <n v="9"/>
    <n v="56"/>
    <n v="65"/>
    <x v="0"/>
    <x v="1"/>
    <x v="0"/>
    <x v="1"/>
    <x v="2"/>
    <x v="0"/>
    <s v="Normal"/>
  </r>
  <r>
    <n v="632"/>
    <d v="2011-01-29T00:00:00"/>
    <n v="1"/>
    <n v="0"/>
    <n v="1"/>
    <x v="14"/>
    <x v="0"/>
    <x v="0"/>
    <n v="2"/>
    <n v="0.22"/>
    <n v="0.2273"/>
    <n v="0.6"/>
    <n v="0.1343"/>
    <n v="10"/>
    <n v="89"/>
    <n v="99"/>
    <x v="0"/>
    <x v="1"/>
    <x v="0"/>
    <x v="1"/>
    <x v="2"/>
    <x v="0"/>
    <s v="Normal"/>
  </r>
  <r>
    <n v="633"/>
    <d v="2011-01-29T00:00:00"/>
    <n v="1"/>
    <n v="0"/>
    <n v="1"/>
    <x v="15"/>
    <x v="0"/>
    <x v="0"/>
    <n v="1"/>
    <n v="0.22"/>
    <n v="0.21210000000000001"/>
    <n v="0.69"/>
    <n v="0.25369999999999998"/>
    <n v="22"/>
    <n v="98"/>
    <n v="120"/>
    <x v="0"/>
    <x v="0"/>
    <x v="0"/>
    <x v="1"/>
    <x v="2"/>
    <x v="0"/>
    <s v="Normal"/>
  </r>
  <r>
    <n v="634"/>
    <d v="2011-01-29T00:00:00"/>
    <n v="1"/>
    <n v="0"/>
    <n v="1"/>
    <x v="16"/>
    <x v="0"/>
    <x v="0"/>
    <n v="1"/>
    <n v="0.24"/>
    <n v="0.2424"/>
    <n v="0.6"/>
    <n v="0.16420000000000001"/>
    <n v="19"/>
    <n v="88"/>
    <n v="107"/>
    <x v="0"/>
    <x v="0"/>
    <x v="0"/>
    <x v="1"/>
    <x v="2"/>
    <x v="0"/>
    <s v="Normal"/>
  </r>
  <r>
    <n v="635"/>
    <d v="2011-01-29T00:00:00"/>
    <n v="1"/>
    <n v="0"/>
    <n v="1"/>
    <x v="17"/>
    <x v="0"/>
    <x v="0"/>
    <n v="1"/>
    <n v="0.24"/>
    <n v="0.28789999999999999"/>
    <n v="0.6"/>
    <n v="0"/>
    <n v="9"/>
    <n v="82"/>
    <n v="91"/>
    <x v="0"/>
    <x v="0"/>
    <x v="1"/>
    <x v="1"/>
    <x v="2"/>
    <x v="0"/>
    <s v="Normal"/>
  </r>
  <r>
    <n v="636"/>
    <d v="2011-01-29T00:00:00"/>
    <n v="1"/>
    <n v="0"/>
    <n v="1"/>
    <x v="18"/>
    <x v="0"/>
    <x v="0"/>
    <n v="1"/>
    <n v="0.22"/>
    <n v="0.2273"/>
    <n v="0.69"/>
    <n v="0.1343"/>
    <n v="9"/>
    <n v="59"/>
    <n v="68"/>
    <x v="0"/>
    <x v="0"/>
    <x v="1"/>
    <x v="1"/>
    <x v="3"/>
    <x v="0"/>
    <s v="Normal"/>
  </r>
  <r>
    <n v="637"/>
    <d v="2011-01-29T00:00:00"/>
    <n v="1"/>
    <n v="0"/>
    <n v="1"/>
    <x v="19"/>
    <x v="0"/>
    <x v="0"/>
    <n v="2"/>
    <n v="0.22"/>
    <n v="0.21210000000000001"/>
    <n v="0.69"/>
    <n v="0.25369999999999998"/>
    <n v="6"/>
    <n v="52"/>
    <n v="58"/>
    <x v="0"/>
    <x v="1"/>
    <x v="1"/>
    <x v="1"/>
    <x v="3"/>
    <x v="0"/>
    <s v="Normal"/>
  </r>
  <r>
    <n v="638"/>
    <d v="2011-01-29T00:00:00"/>
    <n v="1"/>
    <n v="0"/>
    <n v="1"/>
    <x v="20"/>
    <x v="0"/>
    <x v="0"/>
    <n v="1"/>
    <n v="0.18"/>
    <n v="0.21210000000000001"/>
    <n v="0.74"/>
    <n v="8.9599999999999999E-2"/>
    <n v="1"/>
    <n v="42"/>
    <n v="43"/>
    <x v="0"/>
    <x v="0"/>
    <x v="0"/>
    <x v="0"/>
    <x v="3"/>
    <x v="3"/>
    <s v="Normal"/>
  </r>
  <r>
    <n v="639"/>
    <d v="2011-01-29T00:00:00"/>
    <n v="1"/>
    <n v="0"/>
    <n v="1"/>
    <x v="21"/>
    <x v="0"/>
    <x v="0"/>
    <n v="1"/>
    <n v="0.18"/>
    <n v="0.21210000000000001"/>
    <n v="0.74"/>
    <n v="8.9599999999999999E-2"/>
    <n v="1"/>
    <n v="35"/>
    <n v="36"/>
    <x v="0"/>
    <x v="0"/>
    <x v="0"/>
    <x v="0"/>
    <x v="3"/>
    <x v="3"/>
    <s v="Normal"/>
  </r>
  <r>
    <n v="640"/>
    <d v="2011-01-29T00:00:00"/>
    <n v="1"/>
    <n v="0"/>
    <n v="1"/>
    <x v="22"/>
    <x v="0"/>
    <x v="0"/>
    <n v="1"/>
    <n v="0.16"/>
    <n v="0.19700000000000001"/>
    <n v="0.8"/>
    <n v="8.9599999999999999E-2"/>
    <n v="4"/>
    <n v="28"/>
    <n v="32"/>
    <x v="0"/>
    <x v="0"/>
    <x v="0"/>
    <x v="0"/>
    <x v="3"/>
    <x v="3"/>
    <s v="Normal"/>
  </r>
  <r>
    <n v="641"/>
    <d v="2011-01-29T00:00:00"/>
    <n v="1"/>
    <n v="0"/>
    <n v="1"/>
    <x v="23"/>
    <x v="0"/>
    <x v="0"/>
    <n v="1"/>
    <n v="0.16"/>
    <n v="0.19700000000000001"/>
    <n v="0.8"/>
    <n v="8.9599999999999999E-2"/>
    <n v="3"/>
    <n v="30"/>
    <n v="33"/>
    <x v="0"/>
    <x v="0"/>
    <x v="0"/>
    <x v="0"/>
    <x v="3"/>
    <x v="3"/>
    <s v="Normal"/>
  </r>
  <r>
    <n v="642"/>
    <d v="2011-01-30T00:00:00"/>
    <n v="1"/>
    <n v="0"/>
    <n v="1"/>
    <x v="0"/>
    <x v="0"/>
    <x v="1"/>
    <n v="1"/>
    <n v="0.16"/>
    <n v="0.18179999999999999"/>
    <n v="0.8"/>
    <n v="0.1045"/>
    <n v="0"/>
    <n v="33"/>
    <n v="33"/>
    <x v="1"/>
    <x v="0"/>
    <x v="0"/>
    <x v="0"/>
    <x v="0"/>
    <x v="3"/>
    <s v="Normal"/>
  </r>
  <r>
    <n v="643"/>
    <d v="2011-01-30T00:00:00"/>
    <n v="1"/>
    <n v="0"/>
    <n v="1"/>
    <x v="1"/>
    <x v="0"/>
    <x v="1"/>
    <n v="1"/>
    <n v="0.14000000000000001"/>
    <n v="0.21210000000000001"/>
    <n v="0.8"/>
    <n v="0"/>
    <n v="7"/>
    <n v="22"/>
    <n v="29"/>
    <x v="1"/>
    <x v="0"/>
    <x v="0"/>
    <x v="0"/>
    <x v="0"/>
    <x v="3"/>
    <s v="Normal"/>
  </r>
  <r>
    <n v="644"/>
    <d v="2011-01-30T00:00:00"/>
    <n v="1"/>
    <n v="0"/>
    <n v="1"/>
    <x v="2"/>
    <x v="0"/>
    <x v="1"/>
    <n v="1"/>
    <n v="0.16"/>
    <n v="0.2273"/>
    <n v="0.8"/>
    <n v="0"/>
    <n v="1"/>
    <n v="10"/>
    <n v="11"/>
    <x v="1"/>
    <x v="0"/>
    <x v="0"/>
    <x v="0"/>
    <x v="0"/>
    <x v="3"/>
    <s v="Normal"/>
  </r>
  <r>
    <n v="645"/>
    <d v="2011-01-30T00:00:00"/>
    <n v="1"/>
    <n v="0"/>
    <n v="1"/>
    <x v="3"/>
    <x v="0"/>
    <x v="1"/>
    <n v="1"/>
    <n v="0.14000000000000001"/>
    <n v="0.21210000000000001"/>
    <n v="0.93"/>
    <n v="0"/>
    <n v="1"/>
    <n v="7"/>
    <n v="8"/>
    <x v="1"/>
    <x v="0"/>
    <x v="0"/>
    <x v="0"/>
    <x v="0"/>
    <x v="3"/>
    <s v="Normal"/>
  </r>
  <r>
    <n v="646"/>
    <d v="2011-01-30T00:00:00"/>
    <n v="1"/>
    <n v="0"/>
    <n v="1"/>
    <x v="4"/>
    <x v="0"/>
    <x v="1"/>
    <n v="1"/>
    <n v="0.14000000000000001"/>
    <n v="0.21210000000000001"/>
    <n v="0.93"/>
    <n v="0"/>
    <n v="0"/>
    <n v="1"/>
    <n v="1"/>
    <x v="1"/>
    <x v="0"/>
    <x v="0"/>
    <x v="0"/>
    <x v="0"/>
    <x v="3"/>
    <s v="Normal"/>
  </r>
  <r>
    <n v="647"/>
    <d v="2011-01-30T00:00:00"/>
    <n v="1"/>
    <n v="0"/>
    <n v="1"/>
    <x v="5"/>
    <x v="0"/>
    <x v="1"/>
    <n v="1"/>
    <n v="0.14000000000000001"/>
    <n v="0.21210000000000001"/>
    <n v="0.86"/>
    <n v="0"/>
    <n v="0"/>
    <n v="3"/>
    <n v="3"/>
    <x v="1"/>
    <x v="0"/>
    <x v="0"/>
    <x v="0"/>
    <x v="0"/>
    <x v="3"/>
    <s v="Normal"/>
  </r>
  <r>
    <n v="648"/>
    <d v="2011-01-30T00:00:00"/>
    <n v="1"/>
    <n v="0"/>
    <n v="1"/>
    <x v="7"/>
    <x v="0"/>
    <x v="1"/>
    <n v="1"/>
    <n v="0.14000000000000001"/>
    <n v="0.21210000000000001"/>
    <n v="0.86"/>
    <n v="0"/>
    <n v="0"/>
    <n v="3"/>
    <n v="3"/>
    <x v="1"/>
    <x v="0"/>
    <x v="1"/>
    <x v="0"/>
    <x v="1"/>
    <x v="3"/>
    <s v="Normal"/>
  </r>
  <r>
    <n v="649"/>
    <d v="2011-01-30T00:00:00"/>
    <n v="1"/>
    <n v="0"/>
    <n v="1"/>
    <x v="8"/>
    <x v="0"/>
    <x v="1"/>
    <n v="2"/>
    <n v="0.14000000000000001"/>
    <n v="0.21210000000000001"/>
    <n v="0.86"/>
    <n v="0"/>
    <n v="1"/>
    <n v="11"/>
    <n v="12"/>
    <x v="1"/>
    <x v="1"/>
    <x v="1"/>
    <x v="0"/>
    <x v="1"/>
    <x v="3"/>
    <s v="Normal"/>
  </r>
  <r>
    <n v="650"/>
    <d v="2011-01-30T00:00:00"/>
    <n v="1"/>
    <n v="0"/>
    <n v="1"/>
    <x v="9"/>
    <x v="0"/>
    <x v="1"/>
    <n v="2"/>
    <n v="0.16"/>
    <n v="0.2273"/>
    <n v="0.8"/>
    <n v="0"/>
    <n v="4"/>
    <n v="34"/>
    <n v="38"/>
    <x v="1"/>
    <x v="1"/>
    <x v="1"/>
    <x v="0"/>
    <x v="1"/>
    <x v="3"/>
    <s v="Normal"/>
  </r>
  <r>
    <n v="651"/>
    <d v="2011-01-30T00:00:00"/>
    <n v="1"/>
    <n v="0"/>
    <n v="1"/>
    <x v="10"/>
    <x v="0"/>
    <x v="1"/>
    <n v="2"/>
    <n v="0.18"/>
    <n v="0.2424"/>
    <n v="0.8"/>
    <n v="0"/>
    <n v="7"/>
    <n v="57"/>
    <n v="64"/>
    <x v="1"/>
    <x v="1"/>
    <x v="0"/>
    <x v="1"/>
    <x v="1"/>
    <x v="3"/>
    <s v="Normal"/>
  </r>
  <r>
    <n v="652"/>
    <d v="2011-01-30T00:00:00"/>
    <n v="1"/>
    <n v="0"/>
    <n v="1"/>
    <x v="11"/>
    <x v="0"/>
    <x v="1"/>
    <n v="1"/>
    <n v="0.22"/>
    <n v="0.2727"/>
    <n v="0.75"/>
    <n v="0"/>
    <n v="9"/>
    <n v="50"/>
    <n v="59"/>
    <x v="1"/>
    <x v="0"/>
    <x v="0"/>
    <x v="1"/>
    <x v="1"/>
    <x v="0"/>
    <s v="Normal"/>
  </r>
  <r>
    <n v="653"/>
    <d v="2011-01-30T00:00:00"/>
    <n v="1"/>
    <n v="0"/>
    <n v="1"/>
    <x v="12"/>
    <x v="0"/>
    <x v="1"/>
    <n v="1"/>
    <n v="0.3"/>
    <n v="0.31819999999999998"/>
    <n v="0.52"/>
    <n v="0.1045"/>
    <n v="10"/>
    <n v="87"/>
    <n v="97"/>
    <x v="1"/>
    <x v="0"/>
    <x v="0"/>
    <x v="1"/>
    <x v="2"/>
    <x v="1"/>
    <s v="Normal"/>
  </r>
  <r>
    <n v="654"/>
    <d v="2011-01-30T00:00:00"/>
    <n v="1"/>
    <n v="0"/>
    <n v="1"/>
    <x v="13"/>
    <x v="0"/>
    <x v="1"/>
    <n v="1"/>
    <n v="0.28000000000000003"/>
    <n v="0.28789999999999999"/>
    <n v="0.61"/>
    <n v="0.1045"/>
    <n v="13"/>
    <n v="71"/>
    <n v="84"/>
    <x v="1"/>
    <x v="0"/>
    <x v="0"/>
    <x v="1"/>
    <x v="2"/>
    <x v="0"/>
    <s v="Normal"/>
  </r>
  <r>
    <n v="655"/>
    <d v="2011-01-30T00:00:00"/>
    <n v="1"/>
    <n v="0"/>
    <n v="1"/>
    <x v="14"/>
    <x v="0"/>
    <x v="1"/>
    <n v="1"/>
    <n v="0.28000000000000003"/>
    <n v="0.30299999999999999"/>
    <n v="0.61"/>
    <n v="8.9599999999999999E-2"/>
    <n v="18"/>
    <n v="104"/>
    <n v="122"/>
    <x v="1"/>
    <x v="0"/>
    <x v="0"/>
    <x v="1"/>
    <x v="2"/>
    <x v="0"/>
    <s v="Normal"/>
  </r>
  <r>
    <n v="656"/>
    <d v="2011-01-30T00:00:00"/>
    <n v="1"/>
    <n v="0"/>
    <n v="1"/>
    <x v="15"/>
    <x v="0"/>
    <x v="1"/>
    <n v="1"/>
    <n v="0.3"/>
    <n v="0.33329999999999999"/>
    <n v="0.56000000000000005"/>
    <n v="0"/>
    <n v="14"/>
    <n v="95"/>
    <n v="109"/>
    <x v="1"/>
    <x v="0"/>
    <x v="0"/>
    <x v="1"/>
    <x v="2"/>
    <x v="1"/>
    <s v="Normal"/>
  </r>
  <r>
    <n v="657"/>
    <d v="2011-01-30T00:00:00"/>
    <n v="1"/>
    <n v="0"/>
    <n v="1"/>
    <x v="16"/>
    <x v="0"/>
    <x v="1"/>
    <n v="1"/>
    <n v="0.3"/>
    <n v="0.33329999999999999"/>
    <n v="0.56000000000000005"/>
    <n v="0"/>
    <n v="19"/>
    <n v="104"/>
    <n v="123"/>
    <x v="1"/>
    <x v="0"/>
    <x v="0"/>
    <x v="1"/>
    <x v="2"/>
    <x v="1"/>
    <s v="Normal"/>
  </r>
  <r>
    <n v="658"/>
    <d v="2011-01-30T00:00:00"/>
    <n v="1"/>
    <n v="0"/>
    <n v="1"/>
    <x v="17"/>
    <x v="0"/>
    <x v="1"/>
    <n v="1"/>
    <n v="0.3"/>
    <n v="0.28789999999999999"/>
    <n v="0.56000000000000005"/>
    <n v="0.19400000000000001"/>
    <n v="6"/>
    <n v="71"/>
    <n v="77"/>
    <x v="1"/>
    <x v="0"/>
    <x v="1"/>
    <x v="1"/>
    <x v="2"/>
    <x v="1"/>
    <s v="Normal"/>
  </r>
  <r>
    <n v="659"/>
    <d v="2011-01-30T00:00:00"/>
    <n v="1"/>
    <n v="0"/>
    <n v="1"/>
    <x v="18"/>
    <x v="0"/>
    <x v="1"/>
    <n v="1"/>
    <n v="0.26"/>
    <n v="0.2576"/>
    <n v="0.65"/>
    <n v="0.16420000000000001"/>
    <n v="8"/>
    <n v="57"/>
    <n v="65"/>
    <x v="1"/>
    <x v="0"/>
    <x v="1"/>
    <x v="1"/>
    <x v="3"/>
    <x v="0"/>
    <s v="Normal"/>
  </r>
  <r>
    <n v="660"/>
    <d v="2011-01-30T00:00:00"/>
    <n v="1"/>
    <n v="0"/>
    <n v="1"/>
    <x v="19"/>
    <x v="0"/>
    <x v="1"/>
    <n v="1"/>
    <n v="0.26"/>
    <n v="0.2576"/>
    <n v="0.65"/>
    <n v="0.19400000000000001"/>
    <n v="9"/>
    <n v="46"/>
    <n v="55"/>
    <x v="1"/>
    <x v="0"/>
    <x v="1"/>
    <x v="1"/>
    <x v="3"/>
    <x v="0"/>
    <s v="Normal"/>
  </r>
  <r>
    <n v="661"/>
    <d v="2011-01-30T00:00:00"/>
    <n v="1"/>
    <n v="0"/>
    <n v="1"/>
    <x v="20"/>
    <x v="0"/>
    <x v="1"/>
    <n v="2"/>
    <n v="0.26"/>
    <n v="0.2727"/>
    <n v="0.65"/>
    <n v="0.1045"/>
    <n v="3"/>
    <n v="30"/>
    <n v="33"/>
    <x v="1"/>
    <x v="1"/>
    <x v="0"/>
    <x v="0"/>
    <x v="3"/>
    <x v="0"/>
    <s v="Normal"/>
  </r>
  <r>
    <n v="662"/>
    <d v="2011-01-30T00:00:00"/>
    <n v="1"/>
    <n v="0"/>
    <n v="1"/>
    <x v="21"/>
    <x v="0"/>
    <x v="1"/>
    <n v="2"/>
    <n v="0.24"/>
    <n v="0.2424"/>
    <n v="0.7"/>
    <n v="0.16420000000000001"/>
    <n v="3"/>
    <n v="25"/>
    <n v="28"/>
    <x v="1"/>
    <x v="1"/>
    <x v="0"/>
    <x v="0"/>
    <x v="3"/>
    <x v="0"/>
    <s v="Normal"/>
  </r>
  <r>
    <n v="663"/>
    <d v="2011-01-30T00:00:00"/>
    <n v="1"/>
    <n v="0"/>
    <n v="1"/>
    <x v="22"/>
    <x v="0"/>
    <x v="1"/>
    <n v="2"/>
    <n v="0.24"/>
    <n v="0.2273"/>
    <n v="0.7"/>
    <n v="0.19400000000000001"/>
    <n v="2"/>
    <n v="19"/>
    <n v="21"/>
    <x v="1"/>
    <x v="1"/>
    <x v="0"/>
    <x v="0"/>
    <x v="3"/>
    <x v="0"/>
    <s v="Normal"/>
  </r>
  <r>
    <n v="664"/>
    <d v="2011-01-30T00:00:00"/>
    <n v="1"/>
    <n v="0"/>
    <n v="1"/>
    <x v="23"/>
    <x v="0"/>
    <x v="1"/>
    <n v="2"/>
    <n v="0.24"/>
    <n v="0.21210000000000001"/>
    <n v="0.65"/>
    <n v="0.28360000000000002"/>
    <n v="5"/>
    <n v="16"/>
    <n v="21"/>
    <x v="1"/>
    <x v="1"/>
    <x v="0"/>
    <x v="0"/>
    <x v="3"/>
    <x v="0"/>
    <s v="Normal"/>
  </r>
  <r>
    <n v="665"/>
    <d v="2011-01-31T00:00:00"/>
    <n v="1"/>
    <n v="0"/>
    <n v="1"/>
    <x v="0"/>
    <x v="0"/>
    <x v="2"/>
    <n v="2"/>
    <n v="0.24"/>
    <n v="0.2273"/>
    <n v="0.65"/>
    <n v="0.22389999999999999"/>
    <n v="1"/>
    <n v="6"/>
    <n v="7"/>
    <x v="2"/>
    <x v="1"/>
    <x v="0"/>
    <x v="0"/>
    <x v="0"/>
    <x v="0"/>
    <s v="Normal"/>
  </r>
  <r>
    <n v="666"/>
    <d v="2011-01-31T00:00:00"/>
    <n v="1"/>
    <n v="0"/>
    <n v="1"/>
    <x v="1"/>
    <x v="0"/>
    <x v="2"/>
    <n v="1"/>
    <n v="0.22"/>
    <n v="0.21210000000000001"/>
    <n v="0.64"/>
    <n v="0.25369999999999998"/>
    <n v="2"/>
    <n v="5"/>
    <n v="7"/>
    <x v="2"/>
    <x v="0"/>
    <x v="0"/>
    <x v="0"/>
    <x v="0"/>
    <x v="0"/>
    <s v="Normal"/>
  </r>
  <r>
    <n v="667"/>
    <d v="2011-01-31T00:00:00"/>
    <n v="1"/>
    <n v="0"/>
    <n v="1"/>
    <x v="2"/>
    <x v="0"/>
    <x v="2"/>
    <n v="1"/>
    <n v="0.22"/>
    <n v="0.2273"/>
    <n v="0.64"/>
    <n v="0.19400000000000001"/>
    <n v="0"/>
    <n v="1"/>
    <n v="1"/>
    <x v="2"/>
    <x v="0"/>
    <x v="0"/>
    <x v="0"/>
    <x v="0"/>
    <x v="0"/>
    <s v="Normal"/>
  </r>
  <r>
    <n v="668"/>
    <d v="2011-01-31T00:00:00"/>
    <n v="1"/>
    <n v="0"/>
    <n v="1"/>
    <x v="3"/>
    <x v="0"/>
    <x v="2"/>
    <n v="1"/>
    <n v="0.22"/>
    <n v="0.2273"/>
    <n v="0.64"/>
    <n v="0.19400000000000001"/>
    <n v="0"/>
    <n v="2"/>
    <n v="2"/>
    <x v="2"/>
    <x v="0"/>
    <x v="0"/>
    <x v="0"/>
    <x v="0"/>
    <x v="0"/>
    <s v="Normal"/>
  </r>
  <r>
    <n v="669"/>
    <d v="2011-01-31T00:00:00"/>
    <n v="1"/>
    <n v="0"/>
    <n v="1"/>
    <x v="4"/>
    <x v="0"/>
    <x v="2"/>
    <n v="1"/>
    <n v="0.2"/>
    <n v="0.19700000000000001"/>
    <n v="0.59"/>
    <n v="0.22389999999999999"/>
    <n v="0"/>
    <n v="2"/>
    <n v="2"/>
    <x v="2"/>
    <x v="0"/>
    <x v="0"/>
    <x v="0"/>
    <x v="0"/>
    <x v="0"/>
    <s v="Normal"/>
  </r>
  <r>
    <n v="670"/>
    <d v="2011-01-31T00:00:00"/>
    <n v="1"/>
    <n v="0"/>
    <n v="1"/>
    <x v="5"/>
    <x v="0"/>
    <x v="2"/>
    <n v="1"/>
    <n v="0.18"/>
    <n v="0.16669999999999999"/>
    <n v="0.64"/>
    <n v="0.28360000000000002"/>
    <n v="0"/>
    <n v="8"/>
    <n v="8"/>
    <x v="2"/>
    <x v="0"/>
    <x v="0"/>
    <x v="0"/>
    <x v="0"/>
    <x v="3"/>
    <s v="Normal"/>
  </r>
  <r>
    <n v="671"/>
    <d v="2011-01-31T00:00:00"/>
    <n v="1"/>
    <n v="0"/>
    <n v="1"/>
    <x v="6"/>
    <x v="0"/>
    <x v="2"/>
    <n v="1"/>
    <n v="0.16"/>
    <n v="0.13639999999999999"/>
    <n v="0.69"/>
    <n v="0.32840000000000003"/>
    <n v="0"/>
    <n v="37"/>
    <n v="37"/>
    <x v="2"/>
    <x v="0"/>
    <x v="0"/>
    <x v="0"/>
    <x v="1"/>
    <x v="3"/>
    <s v="Normal"/>
  </r>
  <r>
    <n v="672"/>
    <d v="2011-01-31T00:00:00"/>
    <n v="1"/>
    <n v="0"/>
    <n v="1"/>
    <x v="7"/>
    <x v="0"/>
    <x v="2"/>
    <n v="2"/>
    <n v="0.16"/>
    <n v="0.13639999999999999"/>
    <n v="0.64"/>
    <n v="0.28360000000000002"/>
    <n v="1"/>
    <n v="71"/>
    <n v="72"/>
    <x v="2"/>
    <x v="1"/>
    <x v="1"/>
    <x v="1"/>
    <x v="1"/>
    <x v="3"/>
    <s v="Normal"/>
  </r>
  <r>
    <n v="673"/>
    <d v="2011-01-31T00:00:00"/>
    <n v="1"/>
    <n v="0"/>
    <n v="1"/>
    <x v="8"/>
    <x v="0"/>
    <x v="2"/>
    <n v="2"/>
    <n v="0.16"/>
    <n v="0.13639999999999999"/>
    <n v="0.59"/>
    <n v="0.28360000000000002"/>
    <n v="3"/>
    <n v="182"/>
    <n v="185"/>
    <x v="2"/>
    <x v="1"/>
    <x v="1"/>
    <x v="2"/>
    <x v="1"/>
    <x v="3"/>
    <s v="⬆ Spike"/>
  </r>
  <r>
    <n v="674"/>
    <d v="2011-01-31T00:00:00"/>
    <n v="1"/>
    <n v="0"/>
    <n v="1"/>
    <x v="9"/>
    <x v="0"/>
    <x v="2"/>
    <n v="2"/>
    <n v="0.16"/>
    <n v="0.13639999999999999"/>
    <n v="0.59"/>
    <n v="0.29849999999999999"/>
    <n v="0"/>
    <n v="112"/>
    <n v="112"/>
    <x v="2"/>
    <x v="1"/>
    <x v="1"/>
    <x v="1"/>
    <x v="1"/>
    <x v="3"/>
    <s v="Normal"/>
  </r>
  <r>
    <n v="675"/>
    <d v="2011-01-31T00:00:00"/>
    <n v="1"/>
    <n v="0"/>
    <n v="1"/>
    <x v="10"/>
    <x v="0"/>
    <x v="2"/>
    <n v="2"/>
    <n v="0.16"/>
    <n v="0.1515"/>
    <n v="0.59"/>
    <n v="0.19400000000000001"/>
    <n v="1"/>
    <n v="68"/>
    <n v="69"/>
    <x v="2"/>
    <x v="1"/>
    <x v="0"/>
    <x v="1"/>
    <x v="1"/>
    <x v="3"/>
    <s v="Normal"/>
  </r>
  <r>
    <n v="676"/>
    <d v="2011-01-31T00:00:00"/>
    <n v="1"/>
    <n v="0"/>
    <n v="1"/>
    <x v="11"/>
    <x v="0"/>
    <x v="2"/>
    <n v="2"/>
    <n v="0.16"/>
    <n v="0.1515"/>
    <n v="0.59"/>
    <n v="0.19400000000000001"/>
    <n v="2"/>
    <n v="46"/>
    <n v="48"/>
    <x v="2"/>
    <x v="1"/>
    <x v="0"/>
    <x v="0"/>
    <x v="1"/>
    <x v="3"/>
    <s v="Normal"/>
  </r>
  <r>
    <n v="677"/>
    <d v="2011-01-31T00:00:00"/>
    <n v="1"/>
    <n v="0"/>
    <n v="1"/>
    <x v="12"/>
    <x v="0"/>
    <x v="2"/>
    <n v="2"/>
    <n v="0.18"/>
    <n v="0.21210000000000001"/>
    <n v="0.55000000000000004"/>
    <n v="0.1045"/>
    <n v="6"/>
    <n v="62"/>
    <n v="68"/>
    <x v="2"/>
    <x v="1"/>
    <x v="0"/>
    <x v="1"/>
    <x v="2"/>
    <x v="3"/>
    <s v="Normal"/>
  </r>
  <r>
    <n v="678"/>
    <d v="2011-01-31T00:00:00"/>
    <n v="1"/>
    <n v="0"/>
    <n v="1"/>
    <x v="13"/>
    <x v="0"/>
    <x v="2"/>
    <n v="2"/>
    <n v="0.16"/>
    <n v="0.2273"/>
    <n v="0.59"/>
    <n v="0"/>
    <n v="2"/>
    <n v="52"/>
    <n v="54"/>
    <x v="2"/>
    <x v="1"/>
    <x v="0"/>
    <x v="1"/>
    <x v="2"/>
    <x v="3"/>
    <s v="Normal"/>
  </r>
  <r>
    <n v="679"/>
    <d v="2011-01-31T00:00:00"/>
    <n v="1"/>
    <n v="0"/>
    <n v="1"/>
    <x v="14"/>
    <x v="0"/>
    <x v="2"/>
    <n v="2"/>
    <n v="0.18"/>
    <n v="0.19700000000000001"/>
    <n v="0.55000000000000004"/>
    <n v="0.1343"/>
    <n v="1"/>
    <n v="85"/>
    <n v="86"/>
    <x v="2"/>
    <x v="1"/>
    <x v="0"/>
    <x v="1"/>
    <x v="2"/>
    <x v="3"/>
    <s v="Normal"/>
  </r>
  <r>
    <n v="680"/>
    <d v="2011-01-31T00:00:00"/>
    <n v="1"/>
    <n v="0"/>
    <n v="1"/>
    <x v="15"/>
    <x v="0"/>
    <x v="2"/>
    <n v="2"/>
    <n v="0.16"/>
    <n v="0.18179999999999999"/>
    <n v="0.59"/>
    <n v="0.1343"/>
    <n v="3"/>
    <n v="41"/>
    <n v="44"/>
    <x v="2"/>
    <x v="1"/>
    <x v="0"/>
    <x v="0"/>
    <x v="2"/>
    <x v="3"/>
    <s v="Normal"/>
  </r>
  <r>
    <n v="681"/>
    <d v="2011-01-31T00:00:00"/>
    <n v="1"/>
    <n v="0"/>
    <n v="1"/>
    <x v="16"/>
    <x v="0"/>
    <x v="2"/>
    <n v="2"/>
    <n v="0.16"/>
    <n v="0.18179999999999999"/>
    <n v="0.56000000000000005"/>
    <n v="0.19400000000000001"/>
    <n v="3"/>
    <n v="83"/>
    <n v="86"/>
    <x v="2"/>
    <x v="1"/>
    <x v="0"/>
    <x v="1"/>
    <x v="2"/>
    <x v="3"/>
    <s v="Normal"/>
  </r>
  <r>
    <n v="682"/>
    <d v="2011-01-31T00:00:00"/>
    <n v="1"/>
    <n v="0"/>
    <n v="1"/>
    <x v="17"/>
    <x v="0"/>
    <x v="2"/>
    <n v="2"/>
    <n v="0.16"/>
    <n v="0.1515"/>
    <n v="0.59"/>
    <n v="0.19400000000000001"/>
    <n v="6"/>
    <n v="155"/>
    <n v="161"/>
    <x v="2"/>
    <x v="1"/>
    <x v="1"/>
    <x v="2"/>
    <x v="2"/>
    <x v="3"/>
    <s v="⬆ Spike"/>
  </r>
  <r>
    <n v="683"/>
    <d v="2011-01-31T00:00:00"/>
    <n v="1"/>
    <n v="0"/>
    <n v="1"/>
    <x v="18"/>
    <x v="0"/>
    <x v="2"/>
    <n v="2"/>
    <n v="0.16"/>
    <n v="0.1515"/>
    <n v="0.55000000000000004"/>
    <n v="0.22389999999999999"/>
    <n v="3"/>
    <n v="153"/>
    <n v="156"/>
    <x v="2"/>
    <x v="1"/>
    <x v="1"/>
    <x v="2"/>
    <x v="3"/>
    <x v="3"/>
    <s v="Normal"/>
  </r>
  <r>
    <n v="684"/>
    <d v="2011-01-31T00:00:00"/>
    <n v="1"/>
    <n v="0"/>
    <n v="1"/>
    <x v="19"/>
    <x v="0"/>
    <x v="2"/>
    <n v="1"/>
    <n v="0.3"/>
    <n v="0.31819999999999998"/>
    <n v="0.61"/>
    <n v="0.1045"/>
    <n v="3"/>
    <n v="108"/>
    <n v="111"/>
    <x v="2"/>
    <x v="0"/>
    <x v="1"/>
    <x v="1"/>
    <x v="3"/>
    <x v="1"/>
    <s v="Normal"/>
  </r>
  <r>
    <n v="685"/>
    <d v="2011-01-31T00:00:00"/>
    <n v="1"/>
    <n v="0"/>
    <n v="1"/>
    <x v="20"/>
    <x v="0"/>
    <x v="2"/>
    <n v="3"/>
    <n v="0.16"/>
    <n v="0.16669999999999999"/>
    <n v="0.59"/>
    <n v="0.16420000000000001"/>
    <n v="0"/>
    <n v="78"/>
    <n v="78"/>
    <x v="2"/>
    <x v="2"/>
    <x v="0"/>
    <x v="1"/>
    <x v="3"/>
    <x v="3"/>
    <s v="Normal"/>
  </r>
  <r>
    <n v="686"/>
    <d v="2011-01-31T00:00:00"/>
    <n v="1"/>
    <n v="0"/>
    <n v="1"/>
    <x v="21"/>
    <x v="0"/>
    <x v="2"/>
    <n v="3"/>
    <n v="0.16"/>
    <n v="0.19700000000000001"/>
    <n v="0.59"/>
    <n v="8.9599999999999999E-2"/>
    <n v="3"/>
    <n v="53"/>
    <n v="56"/>
    <x v="2"/>
    <x v="2"/>
    <x v="0"/>
    <x v="1"/>
    <x v="3"/>
    <x v="3"/>
    <s v="Normal"/>
  </r>
  <r>
    <n v="687"/>
    <d v="2011-01-31T00:00:00"/>
    <n v="1"/>
    <n v="0"/>
    <n v="1"/>
    <x v="22"/>
    <x v="0"/>
    <x v="2"/>
    <n v="2"/>
    <n v="0.16"/>
    <n v="0.18179999999999999"/>
    <n v="0.59"/>
    <n v="0.1045"/>
    <n v="0"/>
    <n v="34"/>
    <n v="34"/>
    <x v="2"/>
    <x v="1"/>
    <x v="0"/>
    <x v="0"/>
    <x v="3"/>
    <x v="3"/>
    <s v="Normal"/>
  </r>
  <r>
    <n v="688"/>
    <d v="2011-01-31T00:00:00"/>
    <n v="1"/>
    <n v="0"/>
    <n v="1"/>
    <x v="23"/>
    <x v="0"/>
    <x v="2"/>
    <n v="2"/>
    <n v="0.16"/>
    <n v="0.19700000000000001"/>
    <n v="0.64"/>
    <n v="8.9599999999999999E-2"/>
    <n v="2"/>
    <n v="15"/>
    <n v="17"/>
    <x v="2"/>
    <x v="1"/>
    <x v="0"/>
    <x v="0"/>
    <x v="3"/>
    <x v="3"/>
    <s v="Normal"/>
  </r>
  <r>
    <n v="689"/>
    <d v="2011-02-01T00:00:00"/>
    <n v="1"/>
    <n v="0"/>
    <n v="2"/>
    <x v="0"/>
    <x v="0"/>
    <x v="3"/>
    <n v="2"/>
    <n v="0.16"/>
    <n v="0.18179999999999999"/>
    <n v="0.64"/>
    <n v="0.1045"/>
    <n v="2"/>
    <n v="6"/>
    <n v="8"/>
    <x v="3"/>
    <x v="1"/>
    <x v="0"/>
    <x v="0"/>
    <x v="0"/>
    <x v="3"/>
    <s v="Normal"/>
  </r>
  <r>
    <n v="690"/>
    <d v="2011-02-01T00:00:00"/>
    <n v="1"/>
    <n v="0"/>
    <n v="2"/>
    <x v="1"/>
    <x v="0"/>
    <x v="3"/>
    <n v="2"/>
    <n v="0.16"/>
    <n v="0.18179999999999999"/>
    <n v="0.69"/>
    <n v="0.1045"/>
    <n v="0"/>
    <n v="3"/>
    <n v="3"/>
    <x v="3"/>
    <x v="1"/>
    <x v="0"/>
    <x v="0"/>
    <x v="0"/>
    <x v="3"/>
    <s v="Normal"/>
  </r>
  <r>
    <n v="691"/>
    <d v="2011-02-01T00:00:00"/>
    <n v="1"/>
    <n v="0"/>
    <n v="2"/>
    <x v="2"/>
    <x v="0"/>
    <x v="3"/>
    <n v="2"/>
    <n v="0.16"/>
    <n v="0.2273"/>
    <n v="0.69"/>
    <n v="0"/>
    <n v="0"/>
    <n v="2"/>
    <n v="2"/>
    <x v="3"/>
    <x v="1"/>
    <x v="0"/>
    <x v="0"/>
    <x v="0"/>
    <x v="3"/>
    <s v="Normal"/>
  </r>
  <r>
    <n v="692"/>
    <d v="2011-02-01T00:00:00"/>
    <n v="1"/>
    <n v="0"/>
    <n v="2"/>
    <x v="3"/>
    <x v="0"/>
    <x v="3"/>
    <n v="2"/>
    <n v="0.16"/>
    <n v="0.2273"/>
    <n v="0.69"/>
    <n v="0"/>
    <n v="0"/>
    <n v="2"/>
    <n v="2"/>
    <x v="3"/>
    <x v="1"/>
    <x v="0"/>
    <x v="0"/>
    <x v="0"/>
    <x v="3"/>
    <s v="Normal"/>
  </r>
  <r>
    <n v="693"/>
    <d v="2011-02-01T00:00:00"/>
    <n v="1"/>
    <n v="0"/>
    <n v="2"/>
    <x v="5"/>
    <x v="0"/>
    <x v="3"/>
    <n v="3"/>
    <n v="0.14000000000000001"/>
    <n v="0.21210000000000001"/>
    <n v="0.93"/>
    <n v="0"/>
    <n v="0"/>
    <n v="3"/>
    <n v="3"/>
    <x v="3"/>
    <x v="2"/>
    <x v="0"/>
    <x v="0"/>
    <x v="0"/>
    <x v="3"/>
    <s v="Normal"/>
  </r>
  <r>
    <n v="694"/>
    <d v="2011-02-01T00:00:00"/>
    <n v="1"/>
    <n v="0"/>
    <n v="2"/>
    <x v="6"/>
    <x v="0"/>
    <x v="3"/>
    <n v="3"/>
    <n v="0.14000000000000001"/>
    <n v="0.21210000000000001"/>
    <n v="0.93"/>
    <n v="0"/>
    <n v="0"/>
    <n v="22"/>
    <n v="22"/>
    <x v="3"/>
    <x v="2"/>
    <x v="0"/>
    <x v="0"/>
    <x v="1"/>
    <x v="3"/>
    <s v="Normal"/>
  </r>
  <r>
    <n v="695"/>
    <d v="2011-02-01T00:00:00"/>
    <n v="1"/>
    <n v="0"/>
    <n v="2"/>
    <x v="7"/>
    <x v="0"/>
    <x v="3"/>
    <n v="3"/>
    <n v="0.16"/>
    <n v="0.2273"/>
    <n v="0.93"/>
    <n v="0"/>
    <n v="0"/>
    <n v="52"/>
    <n v="52"/>
    <x v="3"/>
    <x v="2"/>
    <x v="1"/>
    <x v="1"/>
    <x v="1"/>
    <x v="3"/>
    <s v="Normal"/>
  </r>
  <r>
    <n v="696"/>
    <d v="2011-02-01T00:00:00"/>
    <n v="1"/>
    <n v="0"/>
    <n v="2"/>
    <x v="8"/>
    <x v="0"/>
    <x v="3"/>
    <n v="3"/>
    <n v="0.16"/>
    <n v="0.2273"/>
    <n v="0.93"/>
    <n v="0"/>
    <n v="3"/>
    <n v="132"/>
    <n v="135"/>
    <x v="3"/>
    <x v="2"/>
    <x v="1"/>
    <x v="1"/>
    <x v="1"/>
    <x v="3"/>
    <s v="Normal"/>
  </r>
  <r>
    <n v="697"/>
    <d v="2011-02-01T00:00:00"/>
    <n v="1"/>
    <n v="0"/>
    <n v="2"/>
    <x v="9"/>
    <x v="0"/>
    <x v="3"/>
    <n v="2"/>
    <n v="0.16"/>
    <n v="0.2273"/>
    <n v="0.93"/>
    <n v="0"/>
    <n v="2"/>
    <n v="114"/>
    <n v="116"/>
    <x v="3"/>
    <x v="1"/>
    <x v="1"/>
    <x v="1"/>
    <x v="1"/>
    <x v="3"/>
    <s v="Normal"/>
  </r>
  <r>
    <n v="698"/>
    <d v="2011-02-01T00:00:00"/>
    <n v="1"/>
    <n v="0"/>
    <n v="2"/>
    <x v="10"/>
    <x v="0"/>
    <x v="3"/>
    <n v="2"/>
    <n v="0.16"/>
    <n v="0.2273"/>
    <n v="0.93"/>
    <n v="0"/>
    <n v="0"/>
    <n v="47"/>
    <n v="47"/>
    <x v="3"/>
    <x v="1"/>
    <x v="0"/>
    <x v="0"/>
    <x v="1"/>
    <x v="3"/>
    <s v="Normal"/>
  </r>
  <r>
    <n v="699"/>
    <d v="2011-02-01T00:00:00"/>
    <n v="1"/>
    <n v="0"/>
    <n v="2"/>
    <x v="11"/>
    <x v="0"/>
    <x v="3"/>
    <n v="2"/>
    <n v="0.18"/>
    <n v="0.2424"/>
    <n v="0.86"/>
    <n v="0"/>
    <n v="2"/>
    <n v="49"/>
    <n v="51"/>
    <x v="3"/>
    <x v="1"/>
    <x v="0"/>
    <x v="1"/>
    <x v="1"/>
    <x v="3"/>
    <s v="Normal"/>
  </r>
  <r>
    <n v="700"/>
    <d v="2011-02-01T00:00:00"/>
    <n v="1"/>
    <n v="0"/>
    <n v="2"/>
    <x v="12"/>
    <x v="0"/>
    <x v="3"/>
    <n v="2"/>
    <n v="0.2"/>
    <n v="0.2576"/>
    <n v="0.86"/>
    <n v="0"/>
    <n v="2"/>
    <n v="53"/>
    <n v="55"/>
    <x v="3"/>
    <x v="1"/>
    <x v="0"/>
    <x v="1"/>
    <x v="2"/>
    <x v="0"/>
    <s v="Normal"/>
  </r>
  <r>
    <n v="701"/>
    <d v="2011-02-01T00:00:00"/>
    <n v="1"/>
    <n v="0"/>
    <n v="2"/>
    <x v="13"/>
    <x v="0"/>
    <x v="3"/>
    <n v="2"/>
    <n v="0.2"/>
    <n v="0.2576"/>
    <n v="0.86"/>
    <n v="0"/>
    <n v="3"/>
    <n v="49"/>
    <n v="52"/>
    <x v="3"/>
    <x v="1"/>
    <x v="0"/>
    <x v="1"/>
    <x v="2"/>
    <x v="0"/>
    <s v="Normal"/>
  </r>
  <r>
    <n v="702"/>
    <d v="2011-02-01T00:00:00"/>
    <n v="1"/>
    <n v="0"/>
    <n v="2"/>
    <x v="14"/>
    <x v="0"/>
    <x v="3"/>
    <n v="2"/>
    <n v="0.22"/>
    <n v="0.2576"/>
    <n v="0.8"/>
    <n v="8.9599999999999999E-2"/>
    <n v="5"/>
    <n v="49"/>
    <n v="54"/>
    <x v="3"/>
    <x v="1"/>
    <x v="0"/>
    <x v="1"/>
    <x v="2"/>
    <x v="0"/>
    <s v="Normal"/>
  </r>
  <r>
    <n v="703"/>
    <d v="2011-02-01T00:00:00"/>
    <n v="1"/>
    <n v="0"/>
    <n v="2"/>
    <x v="15"/>
    <x v="0"/>
    <x v="3"/>
    <n v="2"/>
    <n v="0.24"/>
    <n v="0.28789999999999999"/>
    <n v="0.75"/>
    <n v="0"/>
    <n v="7"/>
    <n v="45"/>
    <n v="52"/>
    <x v="3"/>
    <x v="1"/>
    <x v="0"/>
    <x v="1"/>
    <x v="2"/>
    <x v="0"/>
    <s v="Normal"/>
  </r>
  <r>
    <n v="704"/>
    <d v="2011-02-01T00:00:00"/>
    <n v="1"/>
    <n v="0"/>
    <n v="2"/>
    <x v="16"/>
    <x v="0"/>
    <x v="3"/>
    <n v="2"/>
    <n v="0.24"/>
    <n v="0.2424"/>
    <n v="0.75"/>
    <n v="0.1343"/>
    <n v="3"/>
    <n v="61"/>
    <n v="64"/>
    <x v="3"/>
    <x v="1"/>
    <x v="0"/>
    <x v="1"/>
    <x v="2"/>
    <x v="0"/>
    <s v="Normal"/>
  </r>
  <r>
    <n v="705"/>
    <d v="2011-02-01T00:00:00"/>
    <n v="1"/>
    <n v="0"/>
    <n v="2"/>
    <x v="17"/>
    <x v="0"/>
    <x v="3"/>
    <n v="2"/>
    <n v="0.24"/>
    <n v="0.28789999999999999"/>
    <n v="0.75"/>
    <n v="0"/>
    <n v="4"/>
    <n v="172"/>
    <n v="176"/>
    <x v="3"/>
    <x v="1"/>
    <x v="1"/>
    <x v="2"/>
    <x v="2"/>
    <x v="0"/>
    <s v="⬆ Spike"/>
  </r>
  <r>
    <n v="706"/>
    <d v="2011-02-01T00:00:00"/>
    <n v="1"/>
    <n v="0"/>
    <n v="2"/>
    <x v="18"/>
    <x v="0"/>
    <x v="3"/>
    <n v="2"/>
    <n v="0.24"/>
    <n v="0.2576"/>
    <n v="0.81"/>
    <n v="0.1045"/>
    <n v="3"/>
    <n v="165"/>
    <n v="168"/>
    <x v="3"/>
    <x v="1"/>
    <x v="1"/>
    <x v="2"/>
    <x v="3"/>
    <x v="0"/>
    <s v="⬆ Spike"/>
  </r>
  <r>
    <n v="707"/>
    <d v="2011-02-01T00:00:00"/>
    <n v="1"/>
    <n v="0"/>
    <n v="2"/>
    <x v="19"/>
    <x v="0"/>
    <x v="3"/>
    <n v="2"/>
    <n v="0.24"/>
    <n v="0.2424"/>
    <n v="0.81"/>
    <n v="0.1343"/>
    <n v="3"/>
    <n v="105"/>
    <n v="108"/>
    <x v="3"/>
    <x v="1"/>
    <x v="1"/>
    <x v="1"/>
    <x v="3"/>
    <x v="0"/>
    <s v="Normal"/>
  </r>
  <r>
    <n v="708"/>
    <d v="2011-02-01T00:00:00"/>
    <n v="1"/>
    <n v="0"/>
    <n v="2"/>
    <x v="20"/>
    <x v="0"/>
    <x v="3"/>
    <n v="2"/>
    <n v="0.22"/>
    <n v="0.2273"/>
    <n v="0.87"/>
    <n v="0.1343"/>
    <n v="5"/>
    <n v="69"/>
    <n v="74"/>
    <x v="3"/>
    <x v="1"/>
    <x v="0"/>
    <x v="1"/>
    <x v="3"/>
    <x v="0"/>
    <s v="Normal"/>
  </r>
  <r>
    <n v="709"/>
    <d v="2011-02-01T00:00:00"/>
    <n v="1"/>
    <n v="0"/>
    <n v="2"/>
    <x v="21"/>
    <x v="0"/>
    <x v="3"/>
    <n v="2"/>
    <n v="0.22"/>
    <n v="0.2273"/>
    <n v="0.87"/>
    <n v="0.1343"/>
    <n v="0"/>
    <n v="64"/>
    <n v="64"/>
    <x v="3"/>
    <x v="1"/>
    <x v="0"/>
    <x v="1"/>
    <x v="3"/>
    <x v="0"/>
    <s v="Normal"/>
  </r>
  <r>
    <n v="710"/>
    <d v="2011-02-01T00:00:00"/>
    <n v="1"/>
    <n v="0"/>
    <n v="2"/>
    <x v="22"/>
    <x v="0"/>
    <x v="3"/>
    <n v="2"/>
    <n v="0.22"/>
    <n v="0.2576"/>
    <n v="0.87"/>
    <n v="8.9599999999999999E-2"/>
    <n v="2"/>
    <n v="34"/>
    <n v="36"/>
    <x v="3"/>
    <x v="1"/>
    <x v="0"/>
    <x v="0"/>
    <x v="3"/>
    <x v="0"/>
    <s v="Normal"/>
  </r>
  <r>
    <n v="711"/>
    <d v="2011-02-01T00:00:00"/>
    <n v="1"/>
    <n v="0"/>
    <n v="2"/>
    <x v="23"/>
    <x v="0"/>
    <x v="3"/>
    <n v="3"/>
    <n v="0.2"/>
    <n v="0.19700000000000001"/>
    <n v="0.93"/>
    <n v="0.19400000000000001"/>
    <n v="1"/>
    <n v="15"/>
    <n v="16"/>
    <x v="3"/>
    <x v="2"/>
    <x v="0"/>
    <x v="0"/>
    <x v="3"/>
    <x v="0"/>
    <s v="Normal"/>
  </r>
  <r>
    <n v="712"/>
    <d v="2011-02-02T00:00:00"/>
    <n v="1"/>
    <n v="0"/>
    <n v="2"/>
    <x v="0"/>
    <x v="0"/>
    <x v="4"/>
    <n v="3"/>
    <n v="0.22"/>
    <n v="0.2424"/>
    <n v="0.93"/>
    <n v="0.1045"/>
    <n v="0"/>
    <n v="2"/>
    <n v="2"/>
    <x v="4"/>
    <x v="2"/>
    <x v="0"/>
    <x v="0"/>
    <x v="0"/>
    <x v="0"/>
    <s v="Normal"/>
  </r>
  <r>
    <n v="713"/>
    <d v="2011-02-02T00:00:00"/>
    <n v="1"/>
    <n v="0"/>
    <n v="2"/>
    <x v="1"/>
    <x v="0"/>
    <x v="4"/>
    <n v="3"/>
    <n v="0.22"/>
    <n v="0.2273"/>
    <n v="0.93"/>
    <n v="0.19400000000000001"/>
    <n v="0"/>
    <n v="3"/>
    <n v="3"/>
    <x v="4"/>
    <x v="2"/>
    <x v="0"/>
    <x v="0"/>
    <x v="0"/>
    <x v="0"/>
    <s v="Normal"/>
  </r>
  <r>
    <n v="714"/>
    <d v="2011-02-02T00:00:00"/>
    <n v="1"/>
    <n v="0"/>
    <n v="2"/>
    <x v="2"/>
    <x v="0"/>
    <x v="4"/>
    <n v="3"/>
    <n v="0.22"/>
    <n v="0.2273"/>
    <n v="0.93"/>
    <n v="0.1343"/>
    <n v="4"/>
    <n v="0"/>
    <n v="4"/>
    <x v="4"/>
    <x v="2"/>
    <x v="0"/>
    <x v="0"/>
    <x v="0"/>
    <x v="0"/>
    <s v="Normal"/>
  </r>
  <r>
    <n v="715"/>
    <d v="2011-02-02T00:00:00"/>
    <n v="1"/>
    <n v="0"/>
    <n v="2"/>
    <x v="3"/>
    <x v="0"/>
    <x v="4"/>
    <n v="3"/>
    <n v="0.22"/>
    <n v="0.2273"/>
    <n v="0.93"/>
    <n v="0.1343"/>
    <n v="0"/>
    <n v="1"/>
    <n v="1"/>
    <x v="4"/>
    <x v="2"/>
    <x v="0"/>
    <x v="0"/>
    <x v="0"/>
    <x v="0"/>
    <s v="Normal"/>
  </r>
  <r>
    <n v="716"/>
    <d v="2011-02-02T00:00:00"/>
    <n v="1"/>
    <n v="0"/>
    <n v="2"/>
    <x v="4"/>
    <x v="0"/>
    <x v="4"/>
    <n v="3"/>
    <n v="0.22"/>
    <n v="0.21210000000000001"/>
    <n v="0.93"/>
    <n v="0.28360000000000002"/>
    <n v="0"/>
    <n v="1"/>
    <n v="1"/>
    <x v="4"/>
    <x v="2"/>
    <x v="0"/>
    <x v="0"/>
    <x v="0"/>
    <x v="0"/>
    <s v="Normal"/>
  </r>
  <r>
    <n v="717"/>
    <d v="2011-02-02T00:00:00"/>
    <n v="1"/>
    <n v="0"/>
    <n v="2"/>
    <x v="5"/>
    <x v="0"/>
    <x v="4"/>
    <n v="3"/>
    <n v="0.22"/>
    <n v="0.2424"/>
    <n v="0.93"/>
    <n v="0.1045"/>
    <n v="0"/>
    <n v="3"/>
    <n v="3"/>
    <x v="4"/>
    <x v="2"/>
    <x v="0"/>
    <x v="0"/>
    <x v="0"/>
    <x v="0"/>
    <s v="Normal"/>
  </r>
  <r>
    <n v="718"/>
    <d v="2011-02-02T00:00:00"/>
    <n v="1"/>
    <n v="0"/>
    <n v="2"/>
    <x v="6"/>
    <x v="0"/>
    <x v="4"/>
    <n v="3"/>
    <n v="0.22"/>
    <n v="0.2424"/>
    <n v="0.93"/>
    <n v="0.1045"/>
    <n v="1"/>
    <n v="17"/>
    <n v="18"/>
    <x v="4"/>
    <x v="2"/>
    <x v="0"/>
    <x v="0"/>
    <x v="1"/>
    <x v="0"/>
    <s v="Normal"/>
  </r>
  <r>
    <n v="719"/>
    <d v="2011-02-02T00:00:00"/>
    <n v="1"/>
    <n v="0"/>
    <n v="2"/>
    <x v="7"/>
    <x v="0"/>
    <x v="4"/>
    <n v="3"/>
    <n v="0.22"/>
    <n v="0.21210000000000001"/>
    <n v="0.93"/>
    <n v="0.22389999999999999"/>
    <n v="1"/>
    <n v="48"/>
    <n v="49"/>
    <x v="4"/>
    <x v="2"/>
    <x v="1"/>
    <x v="0"/>
    <x v="1"/>
    <x v="0"/>
    <s v="Normal"/>
  </r>
  <r>
    <n v="720"/>
    <d v="2011-02-02T00:00:00"/>
    <n v="1"/>
    <n v="0"/>
    <n v="2"/>
    <x v="8"/>
    <x v="0"/>
    <x v="4"/>
    <n v="3"/>
    <n v="0.22"/>
    <n v="0.21210000000000001"/>
    <n v="0.93"/>
    <n v="0.22389999999999999"/>
    <n v="1"/>
    <n v="154"/>
    <n v="155"/>
    <x v="4"/>
    <x v="2"/>
    <x v="1"/>
    <x v="2"/>
    <x v="1"/>
    <x v="0"/>
    <s v="Normal"/>
  </r>
  <r>
    <n v="721"/>
    <d v="2011-02-02T00:00:00"/>
    <n v="1"/>
    <n v="0"/>
    <n v="2"/>
    <x v="9"/>
    <x v="0"/>
    <x v="4"/>
    <n v="2"/>
    <n v="0.24"/>
    <n v="0.2576"/>
    <n v="0.93"/>
    <n v="8.9599999999999999E-2"/>
    <n v="4"/>
    <n v="119"/>
    <n v="123"/>
    <x v="4"/>
    <x v="1"/>
    <x v="1"/>
    <x v="1"/>
    <x v="1"/>
    <x v="0"/>
    <s v="Normal"/>
  </r>
  <r>
    <n v="722"/>
    <d v="2011-02-02T00:00:00"/>
    <n v="1"/>
    <n v="0"/>
    <n v="2"/>
    <x v="10"/>
    <x v="0"/>
    <x v="4"/>
    <n v="2"/>
    <n v="0.22"/>
    <n v="0.2727"/>
    <n v="1"/>
    <n v="0"/>
    <n v="2"/>
    <n v="59"/>
    <n v="61"/>
    <x v="4"/>
    <x v="1"/>
    <x v="0"/>
    <x v="1"/>
    <x v="1"/>
    <x v="0"/>
    <s v="Normal"/>
  </r>
  <r>
    <n v="723"/>
    <d v="2011-02-02T00:00:00"/>
    <n v="1"/>
    <n v="0"/>
    <n v="2"/>
    <x v="11"/>
    <x v="0"/>
    <x v="4"/>
    <n v="2"/>
    <n v="0.24"/>
    <n v="0.2273"/>
    <n v="0.93"/>
    <n v="0.19400000000000001"/>
    <n v="5"/>
    <n v="47"/>
    <n v="52"/>
    <x v="4"/>
    <x v="1"/>
    <x v="0"/>
    <x v="1"/>
    <x v="1"/>
    <x v="0"/>
    <s v="Normal"/>
  </r>
  <r>
    <n v="724"/>
    <d v="2011-02-02T00:00:00"/>
    <n v="1"/>
    <n v="0"/>
    <n v="2"/>
    <x v="12"/>
    <x v="0"/>
    <x v="4"/>
    <n v="2"/>
    <n v="0.24"/>
    <n v="0.2273"/>
    <n v="0.93"/>
    <n v="0.22389999999999999"/>
    <n v="3"/>
    <n v="61"/>
    <n v="64"/>
    <x v="4"/>
    <x v="1"/>
    <x v="0"/>
    <x v="1"/>
    <x v="2"/>
    <x v="0"/>
    <s v="Normal"/>
  </r>
  <r>
    <n v="725"/>
    <d v="2011-02-02T00:00:00"/>
    <n v="1"/>
    <n v="0"/>
    <n v="2"/>
    <x v="13"/>
    <x v="0"/>
    <x v="4"/>
    <n v="1"/>
    <n v="0.34"/>
    <n v="0.33329999999999999"/>
    <n v="0.93"/>
    <n v="0.16420000000000001"/>
    <n v="1"/>
    <n v="74"/>
    <n v="75"/>
    <x v="4"/>
    <x v="0"/>
    <x v="0"/>
    <x v="1"/>
    <x v="2"/>
    <x v="1"/>
    <s v="Normal"/>
  </r>
  <r>
    <n v="726"/>
    <d v="2011-02-02T00:00:00"/>
    <n v="1"/>
    <n v="0"/>
    <n v="2"/>
    <x v="14"/>
    <x v="0"/>
    <x v="4"/>
    <n v="1"/>
    <n v="0.38"/>
    <n v="0.39389999999999997"/>
    <n v="0.82"/>
    <n v="0.3881"/>
    <n v="2"/>
    <n v="61"/>
    <n v="63"/>
    <x v="4"/>
    <x v="0"/>
    <x v="0"/>
    <x v="1"/>
    <x v="2"/>
    <x v="1"/>
    <s v="Normal"/>
  </r>
  <r>
    <n v="727"/>
    <d v="2011-02-02T00:00:00"/>
    <n v="1"/>
    <n v="0"/>
    <n v="2"/>
    <x v="15"/>
    <x v="0"/>
    <x v="4"/>
    <n v="1"/>
    <n v="0.38"/>
    <n v="0.39389999999999997"/>
    <n v="0.76"/>
    <n v="0.32840000000000003"/>
    <n v="10"/>
    <n v="66"/>
    <n v="76"/>
    <x v="4"/>
    <x v="0"/>
    <x v="0"/>
    <x v="1"/>
    <x v="2"/>
    <x v="1"/>
    <s v="Normal"/>
  </r>
  <r>
    <n v="728"/>
    <d v="2011-02-02T00:00:00"/>
    <n v="1"/>
    <n v="0"/>
    <n v="2"/>
    <x v="16"/>
    <x v="0"/>
    <x v="4"/>
    <n v="1"/>
    <n v="0.36"/>
    <n v="0.33329999999999999"/>
    <n v="0.71"/>
    <n v="0.29849999999999999"/>
    <n v="8"/>
    <n v="95"/>
    <n v="103"/>
    <x v="4"/>
    <x v="0"/>
    <x v="0"/>
    <x v="1"/>
    <x v="2"/>
    <x v="1"/>
    <s v="Normal"/>
  </r>
  <r>
    <n v="729"/>
    <d v="2011-02-02T00:00:00"/>
    <n v="1"/>
    <n v="0"/>
    <n v="2"/>
    <x v="17"/>
    <x v="0"/>
    <x v="4"/>
    <n v="1"/>
    <n v="0.36"/>
    <n v="0.31819999999999998"/>
    <n v="0.53"/>
    <n v="0.52239999999999998"/>
    <n v="7"/>
    <n v="183"/>
    <n v="190"/>
    <x v="4"/>
    <x v="0"/>
    <x v="1"/>
    <x v="2"/>
    <x v="2"/>
    <x v="1"/>
    <s v="⬆ Spike"/>
  </r>
  <r>
    <n v="730"/>
    <d v="2011-02-02T00:00:00"/>
    <n v="1"/>
    <n v="0"/>
    <n v="2"/>
    <x v="18"/>
    <x v="0"/>
    <x v="4"/>
    <n v="1"/>
    <n v="0.34"/>
    <n v="0.28789999999999999"/>
    <n v="0.42"/>
    <n v="0.55220000000000002"/>
    <n v="7"/>
    <n v="175"/>
    <n v="182"/>
    <x v="4"/>
    <x v="0"/>
    <x v="1"/>
    <x v="2"/>
    <x v="3"/>
    <x v="1"/>
    <s v="⬆ Spike"/>
  </r>
  <r>
    <n v="731"/>
    <d v="2011-02-02T00:00:00"/>
    <n v="1"/>
    <n v="0"/>
    <n v="2"/>
    <x v="19"/>
    <x v="0"/>
    <x v="4"/>
    <n v="1"/>
    <n v="0.28000000000000003"/>
    <n v="0.2424"/>
    <n v="0.45"/>
    <n v="0.49249999999999999"/>
    <n v="3"/>
    <n v="88"/>
    <n v="91"/>
    <x v="4"/>
    <x v="0"/>
    <x v="1"/>
    <x v="1"/>
    <x v="3"/>
    <x v="0"/>
    <s v="Normal"/>
  </r>
  <r>
    <n v="732"/>
    <d v="2011-02-02T00:00:00"/>
    <n v="1"/>
    <n v="0"/>
    <n v="2"/>
    <x v="20"/>
    <x v="0"/>
    <x v="4"/>
    <n v="1"/>
    <n v="0.24"/>
    <n v="0.19700000000000001"/>
    <n v="0.48"/>
    <n v="0.55220000000000002"/>
    <n v="4"/>
    <n v="71"/>
    <n v="75"/>
    <x v="4"/>
    <x v="0"/>
    <x v="0"/>
    <x v="1"/>
    <x v="3"/>
    <x v="0"/>
    <s v="Normal"/>
  </r>
  <r>
    <n v="733"/>
    <d v="2011-02-02T00:00:00"/>
    <n v="1"/>
    <n v="0"/>
    <n v="2"/>
    <x v="21"/>
    <x v="0"/>
    <x v="4"/>
    <n v="1"/>
    <n v="0.22"/>
    <n v="0.19700000000000001"/>
    <n v="0.47"/>
    <n v="0.32840000000000003"/>
    <n v="1"/>
    <n v="62"/>
    <n v="63"/>
    <x v="4"/>
    <x v="0"/>
    <x v="0"/>
    <x v="1"/>
    <x v="3"/>
    <x v="0"/>
    <s v="Normal"/>
  </r>
  <r>
    <n v="734"/>
    <d v="2011-02-02T00:00:00"/>
    <n v="1"/>
    <n v="0"/>
    <n v="2"/>
    <x v="22"/>
    <x v="0"/>
    <x v="4"/>
    <n v="1"/>
    <n v="0.22"/>
    <n v="0.21210000000000001"/>
    <n v="0.44"/>
    <n v="0.25369999999999998"/>
    <n v="5"/>
    <n v="35"/>
    <n v="40"/>
    <x v="4"/>
    <x v="0"/>
    <x v="0"/>
    <x v="0"/>
    <x v="3"/>
    <x v="0"/>
    <s v="Normal"/>
  </r>
  <r>
    <n v="735"/>
    <d v="2011-02-02T00:00:00"/>
    <n v="1"/>
    <n v="0"/>
    <n v="2"/>
    <x v="23"/>
    <x v="0"/>
    <x v="4"/>
    <n v="1"/>
    <n v="0.2"/>
    <n v="0.16669999999999999"/>
    <n v="0.44"/>
    <n v="0.44779999999999998"/>
    <n v="3"/>
    <n v="29"/>
    <n v="32"/>
    <x v="4"/>
    <x v="0"/>
    <x v="0"/>
    <x v="0"/>
    <x v="3"/>
    <x v="0"/>
    <s v="Normal"/>
  </r>
  <r>
    <n v="736"/>
    <d v="2011-02-03T00:00:00"/>
    <n v="1"/>
    <n v="0"/>
    <n v="2"/>
    <x v="0"/>
    <x v="0"/>
    <x v="5"/>
    <n v="1"/>
    <n v="0.2"/>
    <n v="0.16669999999999999"/>
    <n v="0.4"/>
    <n v="0.44779999999999998"/>
    <n v="1"/>
    <n v="11"/>
    <n v="12"/>
    <x v="5"/>
    <x v="0"/>
    <x v="0"/>
    <x v="0"/>
    <x v="0"/>
    <x v="0"/>
    <s v="Normal"/>
  </r>
  <r>
    <n v="737"/>
    <d v="2011-02-03T00:00:00"/>
    <n v="1"/>
    <n v="0"/>
    <n v="2"/>
    <x v="1"/>
    <x v="0"/>
    <x v="5"/>
    <n v="1"/>
    <n v="0.2"/>
    <n v="0.1515"/>
    <n v="0.44"/>
    <n v="0.52239999999999998"/>
    <n v="0"/>
    <n v="5"/>
    <n v="5"/>
    <x v="5"/>
    <x v="0"/>
    <x v="0"/>
    <x v="0"/>
    <x v="0"/>
    <x v="0"/>
    <s v="Normal"/>
  </r>
  <r>
    <n v="738"/>
    <d v="2011-02-03T00:00:00"/>
    <n v="1"/>
    <n v="0"/>
    <n v="2"/>
    <x v="2"/>
    <x v="0"/>
    <x v="5"/>
    <n v="1"/>
    <n v="0.18"/>
    <n v="0.16669999999999999"/>
    <n v="0.43"/>
    <n v="0.25369999999999998"/>
    <n v="0"/>
    <n v="2"/>
    <n v="2"/>
    <x v="5"/>
    <x v="0"/>
    <x v="0"/>
    <x v="0"/>
    <x v="0"/>
    <x v="3"/>
    <s v="Normal"/>
  </r>
  <r>
    <n v="739"/>
    <d v="2011-02-03T00:00:00"/>
    <n v="1"/>
    <n v="0"/>
    <n v="2"/>
    <x v="3"/>
    <x v="0"/>
    <x v="5"/>
    <n v="1"/>
    <n v="0.18"/>
    <n v="0.16669999999999999"/>
    <n v="0.43"/>
    <n v="0.25369999999999998"/>
    <n v="0"/>
    <n v="1"/>
    <n v="1"/>
    <x v="5"/>
    <x v="0"/>
    <x v="0"/>
    <x v="0"/>
    <x v="0"/>
    <x v="3"/>
    <s v="Normal"/>
  </r>
  <r>
    <n v="740"/>
    <d v="2011-02-03T00:00:00"/>
    <n v="1"/>
    <n v="0"/>
    <n v="2"/>
    <x v="5"/>
    <x v="0"/>
    <x v="5"/>
    <n v="1"/>
    <n v="0.16"/>
    <n v="0.13639999999999999"/>
    <n v="0.5"/>
    <n v="0.29849999999999999"/>
    <n v="0"/>
    <n v="2"/>
    <n v="2"/>
    <x v="5"/>
    <x v="0"/>
    <x v="0"/>
    <x v="0"/>
    <x v="0"/>
    <x v="3"/>
    <s v="Normal"/>
  </r>
  <r>
    <n v="741"/>
    <d v="2011-02-03T00:00:00"/>
    <n v="1"/>
    <n v="0"/>
    <n v="2"/>
    <x v="6"/>
    <x v="0"/>
    <x v="5"/>
    <n v="1"/>
    <n v="0.16"/>
    <n v="0.13639999999999999"/>
    <n v="0.43"/>
    <n v="0.35820000000000002"/>
    <n v="0"/>
    <n v="39"/>
    <n v="39"/>
    <x v="5"/>
    <x v="0"/>
    <x v="0"/>
    <x v="0"/>
    <x v="1"/>
    <x v="3"/>
    <s v="Normal"/>
  </r>
  <r>
    <n v="742"/>
    <d v="2011-02-03T00:00:00"/>
    <n v="1"/>
    <n v="0"/>
    <n v="2"/>
    <x v="7"/>
    <x v="0"/>
    <x v="5"/>
    <n v="1"/>
    <n v="0.14000000000000001"/>
    <n v="0.1212"/>
    <n v="0.5"/>
    <n v="0.32840000000000003"/>
    <n v="1"/>
    <n v="86"/>
    <n v="87"/>
    <x v="5"/>
    <x v="0"/>
    <x v="1"/>
    <x v="1"/>
    <x v="1"/>
    <x v="3"/>
    <s v="Normal"/>
  </r>
  <r>
    <n v="743"/>
    <d v="2011-02-03T00:00:00"/>
    <n v="1"/>
    <n v="0"/>
    <n v="2"/>
    <x v="8"/>
    <x v="0"/>
    <x v="5"/>
    <n v="1"/>
    <n v="0.14000000000000001"/>
    <n v="0.1212"/>
    <n v="0.5"/>
    <n v="0.35820000000000002"/>
    <n v="4"/>
    <n v="184"/>
    <n v="188"/>
    <x v="5"/>
    <x v="0"/>
    <x v="1"/>
    <x v="2"/>
    <x v="1"/>
    <x v="3"/>
    <s v="⬆ Spike"/>
  </r>
  <r>
    <n v="744"/>
    <d v="2011-02-03T00:00:00"/>
    <n v="1"/>
    <n v="0"/>
    <n v="2"/>
    <x v="9"/>
    <x v="0"/>
    <x v="5"/>
    <n v="1"/>
    <n v="0.16"/>
    <n v="0.13639999999999999"/>
    <n v="0.47"/>
    <n v="0.29849999999999999"/>
    <n v="6"/>
    <n v="127"/>
    <n v="133"/>
    <x v="5"/>
    <x v="0"/>
    <x v="1"/>
    <x v="1"/>
    <x v="1"/>
    <x v="3"/>
    <s v="Normal"/>
  </r>
  <r>
    <n v="745"/>
    <d v="2011-02-03T00:00:00"/>
    <n v="1"/>
    <n v="0"/>
    <n v="2"/>
    <x v="10"/>
    <x v="0"/>
    <x v="5"/>
    <n v="1"/>
    <n v="0.18"/>
    <n v="0.1515"/>
    <n v="0.43"/>
    <n v="0.32840000000000003"/>
    <n v="2"/>
    <n v="50"/>
    <n v="52"/>
    <x v="5"/>
    <x v="0"/>
    <x v="0"/>
    <x v="1"/>
    <x v="1"/>
    <x v="3"/>
    <s v="Normal"/>
  </r>
  <r>
    <n v="746"/>
    <d v="2011-02-03T00:00:00"/>
    <n v="1"/>
    <n v="0"/>
    <n v="2"/>
    <x v="11"/>
    <x v="0"/>
    <x v="5"/>
    <n v="1"/>
    <n v="0.18"/>
    <n v="0.13639999999999999"/>
    <n v="0.43"/>
    <n v="0.44779999999999998"/>
    <n v="9"/>
    <n v="55"/>
    <n v="64"/>
    <x v="5"/>
    <x v="0"/>
    <x v="0"/>
    <x v="1"/>
    <x v="1"/>
    <x v="3"/>
    <s v="Normal"/>
  </r>
  <r>
    <n v="747"/>
    <d v="2011-02-03T00:00:00"/>
    <n v="1"/>
    <n v="0"/>
    <n v="2"/>
    <x v="12"/>
    <x v="0"/>
    <x v="5"/>
    <n v="1"/>
    <n v="0.2"/>
    <n v="0.18179999999999999"/>
    <n v="0.4"/>
    <n v="0.35820000000000002"/>
    <n v="2"/>
    <n v="67"/>
    <n v="69"/>
    <x v="5"/>
    <x v="0"/>
    <x v="0"/>
    <x v="1"/>
    <x v="2"/>
    <x v="0"/>
    <s v="Normal"/>
  </r>
  <r>
    <n v="748"/>
    <d v="2011-02-03T00:00:00"/>
    <n v="1"/>
    <n v="0"/>
    <n v="2"/>
    <x v="13"/>
    <x v="0"/>
    <x v="5"/>
    <n v="1"/>
    <n v="0.2"/>
    <n v="0.16669999999999999"/>
    <n v="0.4"/>
    <n v="0.41789999999999999"/>
    <n v="4"/>
    <n v="47"/>
    <n v="51"/>
    <x v="5"/>
    <x v="0"/>
    <x v="0"/>
    <x v="1"/>
    <x v="2"/>
    <x v="0"/>
    <s v="Normal"/>
  </r>
  <r>
    <n v="749"/>
    <d v="2011-02-03T00:00:00"/>
    <n v="1"/>
    <n v="0"/>
    <n v="2"/>
    <x v="14"/>
    <x v="0"/>
    <x v="5"/>
    <n v="1"/>
    <n v="0.22"/>
    <n v="0.19700000000000001"/>
    <n v="0.37"/>
    <n v="0.3881"/>
    <n v="4"/>
    <n v="43"/>
    <n v="47"/>
    <x v="5"/>
    <x v="0"/>
    <x v="0"/>
    <x v="0"/>
    <x v="2"/>
    <x v="0"/>
    <s v="Normal"/>
  </r>
  <r>
    <n v="750"/>
    <d v="2011-02-03T00:00:00"/>
    <n v="1"/>
    <n v="0"/>
    <n v="2"/>
    <x v="15"/>
    <x v="0"/>
    <x v="5"/>
    <n v="1"/>
    <n v="0.22"/>
    <n v="0.19700000000000001"/>
    <n v="0.37"/>
    <n v="0.32840000000000003"/>
    <n v="4"/>
    <n v="56"/>
    <n v="60"/>
    <x v="5"/>
    <x v="0"/>
    <x v="0"/>
    <x v="1"/>
    <x v="2"/>
    <x v="0"/>
    <s v="Normal"/>
  </r>
  <r>
    <n v="751"/>
    <d v="2011-02-03T00:00:00"/>
    <n v="1"/>
    <n v="0"/>
    <n v="2"/>
    <x v="16"/>
    <x v="0"/>
    <x v="5"/>
    <n v="1"/>
    <n v="0.22"/>
    <n v="0.21210000000000001"/>
    <n v="0.37"/>
    <n v="0.25369999999999998"/>
    <n v="5"/>
    <n v="73"/>
    <n v="78"/>
    <x v="5"/>
    <x v="0"/>
    <x v="0"/>
    <x v="1"/>
    <x v="2"/>
    <x v="0"/>
    <s v="Normal"/>
  </r>
  <r>
    <n v="752"/>
    <d v="2011-02-03T00:00:00"/>
    <n v="1"/>
    <n v="0"/>
    <n v="2"/>
    <x v="17"/>
    <x v="0"/>
    <x v="5"/>
    <n v="1"/>
    <n v="0.2"/>
    <n v="0.19700000000000001"/>
    <n v="0.4"/>
    <n v="0.19400000000000001"/>
    <n v="5"/>
    <n v="170"/>
    <n v="175"/>
    <x v="5"/>
    <x v="0"/>
    <x v="1"/>
    <x v="2"/>
    <x v="2"/>
    <x v="0"/>
    <s v="⬆ Spike"/>
  </r>
  <r>
    <n v="753"/>
    <d v="2011-02-03T00:00:00"/>
    <n v="1"/>
    <n v="0"/>
    <n v="2"/>
    <x v="18"/>
    <x v="0"/>
    <x v="5"/>
    <n v="1"/>
    <n v="0.2"/>
    <n v="0.21210000000000001"/>
    <n v="0.4"/>
    <n v="0.16420000000000001"/>
    <n v="2"/>
    <n v="145"/>
    <n v="147"/>
    <x v="5"/>
    <x v="0"/>
    <x v="1"/>
    <x v="1"/>
    <x v="3"/>
    <x v="0"/>
    <s v="Normal"/>
  </r>
  <r>
    <n v="754"/>
    <d v="2011-02-03T00:00:00"/>
    <n v="1"/>
    <n v="0"/>
    <n v="2"/>
    <x v="19"/>
    <x v="0"/>
    <x v="5"/>
    <n v="1"/>
    <n v="0.2"/>
    <n v="0.2576"/>
    <n v="0.4"/>
    <n v="0"/>
    <n v="4"/>
    <n v="92"/>
    <n v="96"/>
    <x v="5"/>
    <x v="0"/>
    <x v="1"/>
    <x v="1"/>
    <x v="3"/>
    <x v="0"/>
    <s v="Normal"/>
  </r>
  <r>
    <n v="755"/>
    <d v="2011-02-03T00:00:00"/>
    <n v="1"/>
    <n v="0"/>
    <n v="2"/>
    <x v="20"/>
    <x v="0"/>
    <x v="5"/>
    <n v="1"/>
    <n v="0.2"/>
    <n v="0.2273"/>
    <n v="0.47"/>
    <n v="8.9599999999999999E-2"/>
    <n v="1"/>
    <n v="108"/>
    <n v="109"/>
    <x v="5"/>
    <x v="0"/>
    <x v="0"/>
    <x v="1"/>
    <x v="3"/>
    <x v="0"/>
    <s v="Normal"/>
  </r>
  <r>
    <n v="756"/>
    <d v="2011-02-03T00:00:00"/>
    <n v="1"/>
    <n v="0"/>
    <n v="2"/>
    <x v="21"/>
    <x v="0"/>
    <x v="5"/>
    <n v="1"/>
    <n v="0.18"/>
    <n v="0.21210000000000001"/>
    <n v="0.55000000000000004"/>
    <n v="0.1045"/>
    <n v="1"/>
    <n v="53"/>
    <n v="54"/>
    <x v="5"/>
    <x v="0"/>
    <x v="0"/>
    <x v="1"/>
    <x v="3"/>
    <x v="3"/>
    <s v="Normal"/>
  </r>
  <r>
    <n v="757"/>
    <d v="2011-02-03T00:00:00"/>
    <n v="1"/>
    <n v="0"/>
    <n v="2"/>
    <x v="22"/>
    <x v="0"/>
    <x v="5"/>
    <n v="1"/>
    <n v="0.18"/>
    <n v="0.21210000000000001"/>
    <n v="0.51"/>
    <n v="8.9599999999999999E-2"/>
    <n v="2"/>
    <n v="39"/>
    <n v="41"/>
    <x v="5"/>
    <x v="0"/>
    <x v="0"/>
    <x v="0"/>
    <x v="3"/>
    <x v="3"/>
    <s v="Normal"/>
  </r>
  <r>
    <n v="758"/>
    <d v="2011-02-03T00:00:00"/>
    <n v="1"/>
    <n v="0"/>
    <n v="2"/>
    <x v="23"/>
    <x v="0"/>
    <x v="5"/>
    <n v="1"/>
    <n v="0.2"/>
    <n v="0.2273"/>
    <n v="0.47"/>
    <n v="0.1045"/>
    <n v="4"/>
    <n v="34"/>
    <n v="38"/>
    <x v="5"/>
    <x v="0"/>
    <x v="0"/>
    <x v="0"/>
    <x v="3"/>
    <x v="0"/>
    <s v="Normal"/>
  </r>
  <r>
    <n v="759"/>
    <d v="2011-02-04T00:00:00"/>
    <n v="1"/>
    <n v="0"/>
    <n v="2"/>
    <x v="0"/>
    <x v="0"/>
    <x v="6"/>
    <n v="2"/>
    <n v="0.2"/>
    <n v="0.2576"/>
    <n v="0.44"/>
    <n v="0"/>
    <n v="3"/>
    <n v="10"/>
    <n v="13"/>
    <x v="6"/>
    <x v="1"/>
    <x v="0"/>
    <x v="0"/>
    <x v="0"/>
    <x v="0"/>
    <s v="Normal"/>
  </r>
  <r>
    <n v="760"/>
    <d v="2011-02-04T00:00:00"/>
    <n v="1"/>
    <n v="0"/>
    <n v="2"/>
    <x v="1"/>
    <x v="0"/>
    <x v="6"/>
    <n v="2"/>
    <n v="0.16"/>
    <n v="0.2273"/>
    <n v="0.59"/>
    <n v="0"/>
    <n v="0"/>
    <n v="7"/>
    <n v="7"/>
    <x v="6"/>
    <x v="1"/>
    <x v="0"/>
    <x v="0"/>
    <x v="0"/>
    <x v="3"/>
    <s v="Normal"/>
  </r>
  <r>
    <n v="761"/>
    <d v="2011-02-04T00:00:00"/>
    <n v="1"/>
    <n v="0"/>
    <n v="2"/>
    <x v="2"/>
    <x v="0"/>
    <x v="6"/>
    <n v="2"/>
    <n v="0.14000000000000001"/>
    <n v="0.16669999999999999"/>
    <n v="0.63"/>
    <n v="0.1045"/>
    <n v="0"/>
    <n v="1"/>
    <n v="1"/>
    <x v="6"/>
    <x v="1"/>
    <x v="0"/>
    <x v="0"/>
    <x v="0"/>
    <x v="3"/>
    <s v="Normal"/>
  </r>
  <r>
    <n v="762"/>
    <d v="2011-02-04T00:00:00"/>
    <n v="1"/>
    <n v="0"/>
    <n v="2"/>
    <x v="3"/>
    <x v="0"/>
    <x v="6"/>
    <n v="2"/>
    <n v="0.14000000000000001"/>
    <n v="0.16669999999999999"/>
    <n v="0.63"/>
    <n v="0.1045"/>
    <n v="0"/>
    <n v="1"/>
    <n v="1"/>
    <x v="6"/>
    <x v="1"/>
    <x v="0"/>
    <x v="0"/>
    <x v="0"/>
    <x v="3"/>
    <s v="Normal"/>
  </r>
  <r>
    <n v="763"/>
    <d v="2011-02-04T00:00:00"/>
    <n v="1"/>
    <n v="0"/>
    <n v="2"/>
    <x v="5"/>
    <x v="0"/>
    <x v="6"/>
    <n v="2"/>
    <n v="0.14000000000000001"/>
    <n v="0.1515"/>
    <n v="0.63"/>
    <n v="0.1343"/>
    <n v="0"/>
    <n v="7"/>
    <n v="7"/>
    <x v="6"/>
    <x v="1"/>
    <x v="0"/>
    <x v="0"/>
    <x v="0"/>
    <x v="3"/>
    <s v="Normal"/>
  </r>
  <r>
    <n v="764"/>
    <d v="2011-02-04T00:00:00"/>
    <n v="1"/>
    <n v="0"/>
    <n v="2"/>
    <x v="6"/>
    <x v="0"/>
    <x v="6"/>
    <n v="2"/>
    <n v="0.16"/>
    <n v="0.2273"/>
    <n v="0.55000000000000004"/>
    <n v="0"/>
    <n v="2"/>
    <n v="26"/>
    <n v="28"/>
    <x v="6"/>
    <x v="1"/>
    <x v="0"/>
    <x v="0"/>
    <x v="1"/>
    <x v="3"/>
    <s v="Normal"/>
  </r>
  <r>
    <n v="765"/>
    <d v="2011-02-04T00:00:00"/>
    <n v="1"/>
    <n v="0"/>
    <n v="2"/>
    <x v="7"/>
    <x v="0"/>
    <x v="6"/>
    <n v="1"/>
    <n v="0.14000000000000001"/>
    <n v="0.21210000000000001"/>
    <n v="0.59"/>
    <n v="0"/>
    <n v="0"/>
    <n v="87"/>
    <n v="87"/>
    <x v="6"/>
    <x v="0"/>
    <x v="1"/>
    <x v="1"/>
    <x v="1"/>
    <x v="3"/>
    <s v="Normal"/>
  </r>
  <r>
    <n v="766"/>
    <d v="2011-02-04T00:00:00"/>
    <n v="1"/>
    <n v="0"/>
    <n v="2"/>
    <x v="8"/>
    <x v="0"/>
    <x v="6"/>
    <n v="1"/>
    <n v="0.14000000000000001"/>
    <n v="0.1515"/>
    <n v="0.74"/>
    <n v="0.1343"/>
    <n v="3"/>
    <n v="217"/>
    <n v="220"/>
    <x v="6"/>
    <x v="0"/>
    <x v="1"/>
    <x v="2"/>
    <x v="1"/>
    <x v="3"/>
    <s v="⬆ Spike"/>
  </r>
  <r>
    <n v="767"/>
    <d v="2011-02-04T00:00:00"/>
    <n v="1"/>
    <n v="0"/>
    <n v="2"/>
    <x v="9"/>
    <x v="0"/>
    <x v="6"/>
    <n v="2"/>
    <n v="0.16"/>
    <n v="0.18179999999999999"/>
    <n v="0.8"/>
    <n v="0.1343"/>
    <n v="3"/>
    <n v="124"/>
    <n v="127"/>
    <x v="6"/>
    <x v="1"/>
    <x v="1"/>
    <x v="1"/>
    <x v="1"/>
    <x v="3"/>
    <s v="Normal"/>
  </r>
  <r>
    <n v="768"/>
    <d v="2011-02-04T00:00:00"/>
    <n v="1"/>
    <n v="0"/>
    <n v="2"/>
    <x v="10"/>
    <x v="0"/>
    <x v="6"/>
    <n v="2"/>
    <n v="0.2"/>
    <n v="0.21210000000000001"/>
    <n v="0.51"/>
    <n v="0.1343"/>
    <n v="5"/>
    <n v="46"/>
    <n v="51"/>
    <x v="6"/>
    <x v="1"/>
    <x v="0"/>
    <x v="1"/>
    <x v="1"/>
    <x v="0"/>
    <s v="Normal"/>
  </r>
  <r>
    <n v="769"/>
    <d v="2011-02-04T00:00:00"/>
    <n v="1"/>
    <n v="0"/>
    <n v="2"/>
    <x v="11"/>
    <x v="0"/>
    <x v="6"/>
    <n v="1"/>
    <n v="0.22"/>
    <n v="0.2273"/>
    <n v="0.51"/>
    <n v="0.16420000000000001"/>
    <n v="3"/>
    <n v="61"/>
    <n v="64"/>
    <x v="6"/>
    <x v="0"/>
    <x v="0"/>
    <x v="1"/>
    <x v="1"/>
    <x v="0"/>
    <s v="Normal"/>
  </r>
  <r>
    <n v="770"/>
    <d v="2011-02-04T00:00:00"/>
    <n v="1"/>
    <n v="0"/>
    <n v="2"/>
    <x v="12"/>
    <x v="0"/>
    <x v="6"/>
    <n v="2"/>
    <n v="0.24"/>
    <n v="0.2424"/>
    <n v="0.48"/>
    <n v="0.16420000000000001"/>
    <n v="8"/>
    <n v="78"/>
    <n v="86"/>
    <x v="6"/>
    <x v="1"/>
    <x v="0"/>
    <x v="1"/>
    <x v="2"/>
    <x v="0"/>
    <s v="Normal"/>
  </r>
  <r>
    <n v="771"/>
    <d v="2011-02-04T00:00:00"/>
    <n v="1"/>
    <n v="0"/>
    <n v="2"/>
    <x v="13"/>
    <x v="0"/>
    <x v="6"/>
    <n v="2"/>
    <n v="0.26"/>
    <n v="0.2576"/>
    <n v="0.5"/>
    <n v="0.22389999999999999"/>
    <n v="9"/>
    <n v="73"/>
    <n v="82"/>
    <x v="6"/>
    <x v="1"/>
    <x v="0"/>
    <x v="1"/>
    <x v="2"/>
    <x v="0"/>
    <s v="Normal"/>
  </r>
  <r>
    <n v="772"/>
    <d v="2011-02-04T00:00:00"/>
    <n v="1"/>
    <n v="0"/>
    <n v="2"/>
    <x v="14"/>
    <x v="0"/>
    <x v="6"/>
    <n v="2"/>
    <n v="0.28000000000000003"/>
    <n v="0.2727"/>
    <n v="0.45"/>
    <n v="0.16420000000000001"/>
    <n v="15"/>
    <n v="76"/>
    <n v="91"/>
    <x v="6"/>
    <x v="1"/>
    <x v="0"/>
    <x v="1"/>
    <x v="2"/>
    <x v="0"/>
    <s v="Normal"/>
  </r>
  <r>
    <n v="773"/>
    <d v="2011-02-04T00:00:00"/>
    <n v="1"/>
    <n v="0"/>
    <n v="2"/>
    <x v="15"/>
    <x v="0"/>
    <x v="6"/>
    <n v="2"/>
    <n v="0.28000000000000003"/>
    <n v="0.2727"/>
    <n v="0.48"/>
    <n v="0.25369999999999998"/>
    <n v="9"/>
    <n v="81"/>
    <n v="90"/>
    <x v="6"/>
    <x v="1"/>
    <x v="0"/>
    <x v="1"/>
    <x v="2"/>
    <x v="0"/>
    <s v="Normal"/>
  </r>
  <r>
    <n v="774"/>
    <d v="2011-02-04T00:00:00"/>
    <n v="1"/>
    <n v="0"/>
    <n v="2"/>
    <x v="16"/>
    <x v="0"/>
    <x v="6"/>
    <n v="2"/>
    <n v="0.3"/>
    <n v="0.28789999999999999"/>
    <n v="0.42"/>
    <n v="0.22389999999999999"/>
    <n v="8"/>
    <n v="91"/>
    <n v="99"/>
    <x v="6"/>
    <x v="1"/>
    <x v="0"/>
    <x v="1"/>
    <x v="2"/>
    <x v="1"/>
    <s v="Normal"/>
  </r>
  <r>
    <n v="775"/>
    <d v="2011-02-04T00:00:00"/>
    <n v="1"/>
    <n v="0"/>
    <n v="2"/>
    <x v="17"/>
    <x v="0"/>
    <x v="6"/>
    <n v="2"/>
    <n v="0.26"/>
    <n v="0.2727"/>
    <n v="0.56000000000000005"/>
    <n v="0.1343"/>
    <n v="10"/>
    <n v="195"/>
    <n v="205"/>
    <x v="6"/>
    <x v="1"/>
    <x v="1"/>
    <x v="2"/>
    <x v="2"/>
    <x v="0"/>
    <s v="⬆ Spike"/>
  </r>
  <r>
    <n v="776"/>
    <d v="2011-02-04T00:00:00"/>
    <n v="1"/>
    <n v="0"/>
    <n v="2"/>
    <x v="18"/>
    <x v="0"/>
    <x v="6"/>
    <n v="2"/>
    <n v="0.24"/>
    <n v="0.2576"/>
    <n v="0.6"/>
    <n v="0.1045"/>
    <n v="3"/>
    <n v="152"/>
    <n v="155"/>
    <x v="6"/>
    <x v="1"/>
    <x v="1"/>
    <x v="2"/>
    <x v="3"/>
    <x v="0"/>
    <s v="Normal"/>
  </r>
  <r>
    <n v="777"/>
    <d v="2011-02-04T00:00:00"/>
    <n v="1"/>
    <n v="0"/>
    <n v="2"/>
    <x v="19"/>
    <x v="0"/>
    <x v="6"/>
    <n v="2"/>
    <n v="0.24"/>
    <n v="0.2424"/>
    <n v="0.65"/>
    <n v="0.1343"/>
    <n v="1"/>
    <n v="102"/>
    <n v="103"/>
    <x v="6"/>
    <x v="1"/>
    <x v="1"/>
    <x v="1"/>
    <x v="3"/>
    <x v="0"/>
    <s v="Normal"/>
  </r>
  <r>
    <n v="778"/>
    <d v="2011-02-04T00:00:00"/>
    <n v="1"/>
    <n v="0"/>
    <n v="2"/>
    <x v="20"/>
    <x v="0"/>
    <x v="6"/>
    <n v="2"/>
    <n v="0.24"/>
    <n v="0.2424"/>
    <n v="0.65"/>
    <n v="0.16420000000000001"/>
    <n v="2"/>
    <n v="69"/>
    <n v="71"/>
    <x v="6"/>
    <x v="1"/>
    <x v="0"/>
    <x v="1"/>
    <x v="3"/>
    <x v="0"/>
    <s v="Normal"/>
  </r>
  <r>
    <n v="779"/>
    <d v="2011-02-04T00:00:00"/>
    <n v="1"/>
    <n v="0"/>
    <n v="2"/>
    <x v="21"/>
    <x v="0"/>
    <x v="6"/>
    <n v="2"/>
    <n v="0.24"/>
    <n v="0.2424"/>
    <n v="0.7"/>
    <n v="0.16420000000000001"/>
    <n v="2"/>
    <n v="41"/>
    <n v="43"/>
    <x v="6"/>
    <x v="1"/>
    <x v="0"/>
    <x v="0"/>
    <x v="3"/>
    <x v="0"/>
    <s v="Normal"/>
  </r>
  <r>
    <n v="780"/>
    <d v="2011-02-04T00:00:00"/>
    <n v="1"/>
    <n v="0"/>
    <n v="2"/>
    <x v="22"/>
    <x v="0"/>
    <x v="6"/>
    <n v="2"/>
    <n v="0.24"/>
    <n v="0.2424"/>
    <n v="0.65"/>
    <n v="0.16420000000000001"/>
    <n v="1"/>
    <n v="45"/>
    <n v="46"/>
    <x v="6"/>
    <x v="1"/>
    <x v="0"/>
    <x v="0"/>
    <x v="3"/>
    <x v="0"/>
    <s v="Normal"/>
  </r>
  <r>
    <n v="781"/>
    <d v="2011-02-04T00:00:00"/>
    <n v="1"/>
    <n v="0"/>
    <n v="2"/>
    <x v="23"/>
    <x v="0"/>
    <x v="6"/>
    <n v="2"/>
    <n v="0.24"/>
    <n v="0.2424"/>
    <n v="0.7"/>
    <n v="0.1343"/>
    <n v="1"/>
    <n v="30"/>
    <n v="31"/>
    <x v="6"/>
    <x v="1"/>
    <x v="0"/>
    <x v="0"/>
    <x v="3"/>
    <x v="0"/>
    <s v="Normal"/>
  </r>
  <r>
    <n v="782"/>
    <d v="2011-02-05T00:00:00"/>
    <n v="1"/>
    <n v="0"/>
    <n v="2"/>
    <x v="0"/>
    <x v="0"/>
    <x v="0"/>
    <n v="2"/>
    <n v="0.24"/>
    <n v="0.2424"/>
    <n v="0.7"/>
    <n v="0.16420000000000001"/>
    <n v="3"/>
    <n v="36"/>
    <n v="39"/>
    <x v="0"/>
    <x v="1"/>
    <x v="0"/>
    <x v="0"/>
    <x v="0"/>
    <x v="0"/>
    <s v="Normal"/>
  </r>
  <r>
    <n v="783"/>
    <d v="2011-02-05T00:00:00"/>
    <n v="1"/>
    <n v="0"/>
    <n v="2"/>
    <x v="1"/>
    <x v="0"/>
    <x v="0"/>
    <n v="2"/>
    <n v="0.24"/>
    <n v="0.2424"/>
    <n v="0.65"/>
    <n v="0.16420000000000001"/>
    <n v="1"/>
    <n v="17"/>
    <n v="18"/>
    <x v="0"/>
    <x v="1"/>
    <x v="0"/>
    <x v="0"/>
    <x v="0"/>
    <x v="0"/>
    <s v="Normal"/>
  </r>
  <r>
    <n v="784"/>
    <d v="2011-02-05T00:00:00"/>
    <n v="1"/>
    <n v="0"/>
    <n v="2"/>
    <x v="2"/>
    <x v="0"/>
    <x v="0"/>
    <n v="2"/>
    <n v="0.24"/>
    <n v="0.2424"/>
    <n v="0.75"/>
    <n v="0.16420000000000001"/>
    <n v="5"/>
    <n v="12"/>
    <n v="17"/>
    <x v="0"/>
    <x v="1"/>
    <x v="0"/>
    <x v="0"/>
    <x v="0"/>
    <x v="0"/>
    <s v="Normal"/>
  </r>
  <r>
    <n v="785"/>
    <d v="2011-02-05T00:00:00"/>
    <n v="1"/>
    <n v="0"/>
    <n v="2"/>
    <x v="3"/>
    <x v="0"/>
    <x v="0"/>
    <n v="2"/>
    <n v="0.24"/>
    <n v="0.2424"/>
    <n v="0.75"/>
    <n v="0.16420000000000001"/>
    <n v="1"/>
    <n v="10"/>
    <n v="11"/>
    <x v="0"/>
    <x v="1"/>
    <x v="0"/>
    <x v="0"/>
    <x v="0"/>
    <x v="0"/>
    <s v="Normal"/>
  </r>
  <r>
    <n v="786"/>
    <d v="2011-02-05T00:00:00"/>
    <n v="1"/>
    <n v="0"/>
    <n v="2"/>
    <x v="4"/>
    <x v="0"/>
    <x v="0"/>
    <n v="3"/>
    <n v="0.22"/>
    <n v="0.2273"/>
    <n v="0.93"/>
    <n v="0.1343"/>
    <n v="0"/>
    <n v="8"/>
    <n v="8"/>
    <x v="0"/>
    <x v="2"/>
    <x v="0"/>
    <x v="0"/>
    <x v="0"/>
    <x v="0"/>
    <s v="Normal"/>
  </r>
  <r>
    <n v="787"/>
    <d v="2011-02-05T00:00:00"/>
    <n v="1"/>
    <n v="0"/>
    <n v="2"/>
    <x v="5"/>
    <x v="0"/>
    <x v="0"/>
    <n v="3"/>
    <n v="0.2"/>
    <n v="0.2273"/>
    <n v="1"/>
    <n v="8.9599999999999999E-2"/>
    <n v="0"/>
    <n v="9"/>
    <n v="9"/>
    <x v="0"/>
    <x v="2"/>
    <x v="0"/>
    <x v="0"/>
    <x v="0"/>
    <x v="0"/>
    <s v="Normal"/>
  </r>
  <r>
    <n v="788"/>
    <d v="2011-02-05T00:00:00"/>
    <n v="1"/>
    <n v="0"/>
    <n v="2"/>
    <x v="6"/>
    <x v="0"/>
    <x v="0"/>
    <n v="3"/>
    <n v="0.2"/>
    <n v="0.2576"/>
    <n v="1"/>
    <n v="0"/>
    <n v="0"/>
    <n v="4"/>
    <n v="4"/>
    <x v="0"/>
    <x v="2"/>
    <x v="0"/>
    <x v="0"/>
    <x v="1"/>
    <x v="0"/>
    <s v="Normal"/>
  </r>
  <r>
    <n v="789"/>
    <d v="2011-02-05T00:00:00"/>
    <n v="1"/>
    <n v="0"/>
    <n v="2"/>
    <x v="7"/>
    <x v="0"/>
    <x v="0"/>
    <n v="3"/>
    <n v="0.22"/>
    <n v="0.2576"/>
    <n v="0.93"/>
    <n v="8.9599999999999999E-2"/>
    <n v="0"/>
    <n v="4"/>
    <n v="4"/>
    <x v="0"/>
    <x v="2"/>
    <x v="1"/>
    <x v="0"/>
    <x v="1"/>
    <x v="0"/>
    <s v="Normal"/>
  </r>
  <r>
    <n v="790"/>
    <d v="2011-02-05T00:00:00"/>
    <n v="1"/>
    <n v="0"/>
    <n v="2"/>
    <x v="8"/>
    <x v="0"/>
    <x v="0"/>
    <n v="3"/>
    <n v="0.2"/>
    <n v="0.2273"/>
    <n v="1"/>
    <n v="8.9599999999999999E-2"/>
    <n v="0"/>
    <n v="10"/>
    <n v="10"/>
    <x v="0"/>
    <x v="2"/>
    <x v="1"/>
    <x v="0"/>
    <x v="1"/>
    <x v="0"/>
    <s v="Normal"/>
  </r>
  <r>
    <n v="791"/>
    <d v="2011-02-05T00:00:00"/>
    <n v="1"/>
    <n v="0"/>
    <n v="2"/>
    <x v="9"/>
    <x v="0"/>
    <x v="0"/>
    <n v="3"/>
    <n v="0.2"/>
    <n v="0.2273"/>
    <n v="1"/>
    <n v="8.9599999999999999E-2"/>
    <n v="3"/>
    <n v="17"/>
    <n v="20"/>
    <x v="0"/>
    <x v="2"/>
    <x v="1"/>
    <x v="0"/>
    <x v="1"/>
    <x v="0"/>
    <s v="Normal"/>
  </r>
  <r>
    <n v="792"/>
    <d v="2011-02-05T00:00:00"/>
    <n v="1"/>
    <n v="0"/>
    <n v="2"/>
    <x v="10"/>
    <x v="0"/>
    <x v="0"/>
    <n v="3"/>
    <n v="0.2"/>
    <n v="0.21210000000000001"/>
    <n v="1"/>
    <n v="0.1343"/>
    <n v="3"/>
    <n v="31"/>
    <n v="34"/>
    <x v="0"/>
    <x v="2"/>
    <x v="0"/>
    <x v="0"/>
    <x v="1"/>
    <x v="0"/>
    <s v="Normal"/>
  </r>
  <r>
    <n v="793"/>
    <d v="2011-02-05T00:00:00"/>
    <n v="1"/>
    <n v="0"/>
    <n v="2"/>
    <x v="11"/>
    <x v="0"/>
    <x v="0"/>
    <n v="3"/>
    <n v="0.22"/>
    <n v="0.2273"/>
    <n v="1"/>
    <n v="0.1343"/>
    <n v="1"/>
    <n v="46"/>
    <n v="47"/>
    <x v="0"/>
    <x v="2"/>
    <x v="0"/>
    <x v="0"/>
    <x v="1"/>
    <x v="0"/>
    <s v="Normal"/>
  </r>
  <r>
    <n v="794"/>
    <d v="2011-02-05T00:00:00"/>
    <n v="1"/>
    <n v="0"/>
    <n v="2"/>
    <x v="12"/>
    <x v="0"/>
    <x v="0"/>
    <n v="3"/>
    <n v="0.22"/>
    <n v="0.2273"/>
    <n v="1"/>
    <n v="0.16420000000000001"/>
    <n v="10"/>
    <n v="42"/>
    <n v="52"/>
    <x v="0"/>
    <x v="2"/>
    <x v="0"/>
    <x v="1"/>
    <x v="2"/>
    <x v="0"/>
    <s v="Normal"/>
  </r>
  <r>
    <n v="795"/>
    <d v="2011-02-05T00:00:00"/>
    <n v="1"/>
    <n v="0"/>
    <n v="2"/>
    <x v="13"/>
    <x v="0"/>
    <x v="0"/>
    <n v="3"/>
    <n v="0.22"/>
    <n v="0.2273"/>
    <n v="1"/>
    <n v="0.16420000000000001"/>
    <n v="10"/>
    <n v="62"/>
    <n v="72"/>
    <x v="0"/>
    <x v="2"/>
    <x v="0"/>
    <x v="1"/>
    <x v="2"/>
    <x v="0"/>
    <s v="Normal"/>
  </r>
  <r>
    <n v="796"/>
    <d v="2011-02-05T00:00:00"/>
    <n v="1"/>
    <n v="0"/>
    <n v="2"/>
    <x v="14"/>
    <x v="0"/>
    <x v="0"/>
    <n v="3"/>
    <n v="0.22"/>
    <n v="0.2727"/>
    <n v="1"/>
    <n v="0"/>
    <n v="5"/>
    <n v="50"/>
    <n v="55"/>
    <x v="0"/>
    <x v="2"/>
    <x v="0"/>
    <x v="1"/>
    <x v="2"/>
    <x v="0"/>
    <s v="Normal"/>
  </r>
  <r>
    <n v="797"/>
    <d v="2011-02-05T00:00:00"/>
    <n v="1"/>
    <n v="0"/>
    <n v="2"/>
    <x v="15"/>
    <x v="0"/>
    <x v="0"/>
    <n v="3"/>
    <n v="0.22"/>
    <n v="0.2727"/>
    <n v="1"/>
    <n v="0"/>
    <n v="11"/>
    <n v="49"/>
    <n v="60"/>
    <x v="0"/>
    <x v="2"/>
    <x v="0"/>
    <x v="1"/>
    <x v="2"/>
    <x v="0"/>
    <s v="Normal"/>
  </r>
  <r>
    <n v="798"/>
    <d v="2011-02-05T00:00:00"/>
    <n v="1"/>
    <n v="0"/>
    <n v="2"/>
    <x v="16"/>
    <x v="0"/>
    <x v="0"/>
    <n v="3"/>
    <n v="0.22"/>
    <n v="0.2273"/>
    <n v="1"/>
    <n v="0.1343"/>
    <n v="8"/>
    <n v="63"/>
    <n v="71"/>
    <x v="0"/>
    <x v="2"/>
    <x v="0"/>
    <x v="1"/>
    <x v="2"/>
    <x v="0"/>
    <s v="Normal"/>
  </r>
  <r>
    <n v="799"/>
    <d v="2011-02-05T00:00:00"/>
    <n v="1"/>
    <n v="0"/>
    <n v="2"/>
    <x v="17"/>
    <x v="0"/>
    <x v="0"/>
    <n v="2"/>
    <n v="0.24"/>
    <n v="0.21210000000000001"/>
    <n v="1"/>
    <n v="0.28360000000000002"/>
    <n v="14"/>
    <n v="64"/>
    <n v="78"/>
    <x v="0"/>
    <x v="1"/>
    <x v="1"/>
    <x v="1"/>
    <x v="2"/>
    <x v="0"/>
    <s v="Normal"/>
  </r>
  <r>
    <n v="800"/>
    <d v="2011-02-05T00:00:00"/>
    <n v="1"/>
    <n v="0"/>
    <n v="2"/>
    <x v="18"/>
    <x v="0"/>
    <x v="0"/>
    <n v="2"/>
    <n v="0.28000000000000003"/>
    <n v="0.2424"/>
    <n v="0.93"/>
    <n v="0.44779999999999998"/>
    <n v="2"/>
    <n v="81"/>
    <n v="83"/>
    <x v="0"/>
    <x v="1"/>
    <x v="1"/>
    <x v="1"/>
    <x v="3"/>
    <x v="0"/>
    <s v="Normal"/>
  </r>
  <r>
    <n v="801"/>
    <d v="2011-02-05T00:00:00"/>
    <n v="1"/>
    <n v="0"/>
    <n v="2"/>
    <x v="19"/>
    <x v="0"/>
    <x v="0"/>
    <n v="2"/>
    <n v="0.28000000000000003"/>
    <n v="0.2424"/>
    <n v="0.93"/>
    <n v="0.44779999999999998"/>
    <n v="6"/>
    <n v="78"/>
    <n v="84"/>
    <x v="0"/>
    <x v="1"/>
    <x v="1"/>
    <x v="1"/>
    <x v="3"/>
    <x v="0"/>
    <s v="Normal"/>
  </r>
  <r>
    <n v="802"/>
    <d v="2011-02-05T00:00:00"/>
    <n v="1"/>
    <n v="0"/>
    <n v="2"/>
    <x v="20"/>
    <x v="0"/>
    <x v="0"/>
    <n v="1"/>
    <n v="0.3"/>
    <n v="0.28789999999999999"/>
    <n v="0.87"/>
    <n v="0.25369999999999998"/>
    <n v="5"/>
    <n v="64"/>
    <n v="69"/>
    <x v="0"/>
    <x v="0"/>
    <x v="0"/>
    <x v="1"/>
    <x v="3"/>
    <x v="1"/>
    <s v="Normal"/>
  </r>
  <r>
    <n v="803"/>
    <d v="2011-02-05T00:00:00"/>
    <n v="1"/>
    <n v="0"/>
    <n v="2"/>
    <x v="21"/>
    <x v="0"/>
    <x v="0"/>
    <n v="1"/>
    <n v="0.26"/>
    <n v="0.2576"/>
    <n v="1"/>
    <n v="0.19400000000000001"/>
    <n v="3"/>
    <n v="53"/>
    <n v="56"/>
    <x v="0"/>
    <x v="0"/>
    <x v="0"/>
    <x v="1"/>
    <x v="3"/>
    <x v="0"/>
    <s v="Normal"/>
  </r>
  <r>
    <n v="804"/>
    <d v="2011-02-05T00:00:00"/>
    <n v="1"/>
    <n v="0"/>
    <n v="2"/>
    <x v="22"/>
    <x v="0"/>
    <x v="0"/>
    <n v="1"/>
    <n v="0.26"/>
    <n v="0.2727"/>
    <n v="0.93"/>
    <n v="0.1343"/>
    <n v="2"/>
    <n v="43"/>
    <n v="45"/>
    <x v="0"/>
    <x v="0"/>
    <x v="0"/>
    <x v="0"/>
    <x v="3"/>
    <x v="0"/>
    <s v="Normal"/>
  </r>
  <r>
    <n v="805"/>
    <d v="2011-02-05T00:00:00"/>
    <n v="1"/>
    <n v="0"/>
    <n v="2"/>
    <x v="23"/>
    <x v="0"/>
    <x v="0"/>
    <n v="1"/>
    <n v="0.26"/>
    <n v="0.2576"/>
    <n v="0.93"/>
    <n v="0.22389999999999999"/>
    <n v="7"/>
    <n v="52"/>
    <n v="59"/>
    <x v="0"/>
    <x v="0"/>
    <x v="0"/>
    <x v="1"/>
    <x v="3"/>
    <x v="0"/>
    <s v="Normal"/>
  </r>
  <r>
    <n v="806"/>
    <d v="2011-02-06T00:00:00"/>
    <n v="1"/>
    <n v="0"/>
    <n v="2"/>
    <x v="0"/>
    <x v="0"/>
    <x v="1"/>
    <n v="1"/>
    <n v="0.26"/>
    <n v="0.2576"/>
    <n v="0.7"/>
    <n v="0.19400000000000001"/>
    <n v="2"/>
    <n v="37"/>
    <n v="39"/>
    <x v="1"/>
    <x v="0"/>
    <x v="0"/>
    <x v="0"/>
    <x v="0"/>
    <x v="0"/>
    <s v="Normal"/>
  </r>
  <r>
    <n v="807"/>
    <d v="2011-02-06T00:00:00"/>
    <n v="1"/>
    <n v="0"/>
    <n v="2"/>
    <x v="1"/>
    <x v="0"/>
    <x v="1"/>
    <n v="1"/>
    <n v="0.26"/>
    <n v="0.2273"/>
    <n v="0.65"/>
    <n v="0.41789999999999999"/>
    <n v="4"/>
    <n v="40"/>
    <n v="44"/>
    <x v="1"/>
    <x v="0"/>
    <x v="0"/>
    <x v="0"/>
    <x v="0"/>
    <x v="0"/>
    <s v="Normal"/>
  </r>
  <r>
    <n v="808"/>
    <d v="2011-02-06T00:00:00"/>
    <n v="1"/>
    <n v="0"/>
    <n v="2"/>
    <x v="2"/>
    <x v="0"/>
    <x v="1"/>
    <n v="1"/>
    <n v="0.26"/>
    <n v="0.2273"/>
    <n v="0.6"/>
    <n v="0.32840000000000003"/>
    <n v="0"/>
    <n v="20"/>
    <n v="20"/>
    <x v="1"/>
    <x v="0"/>
    <x v="0"/>
    <x v="0"/>
    <x v="0"/>
    <x v="0"/>
    <s v="Normal"/>
  </r>
  <r>
    <n v="809"/>
    <d v="2011-02-06T00:00:00"/>
    <n v="1"/>
    <n v="0"/>
    <n v="2"/>
    <x v="3"/>
    <x v="0"/>
    <x v="1"/>
    <n v="1"/>
    <n v="0.26"/>
    <n v="0.28789999999999999"/>
    <n v="0.6"/>
    <n v="8.9599999999999999E-2"/>
    <n v="3"/>
    <n v="10"/>
    <n v="13"/>
    <x v="1"/>
    <x v="0"/>
    <x v="0"/>
    <x v="0"/>
    <x v="0"/>
    <x v="0"/>
    <s v="Normal"/>
  </r>
  <r>
    <n v="810"/>
    <d v="2011-02-06T00:00:00"/>
    <n v="1"/>
    <n v="0"/>
    <n v="2"/>
    <x v="4"/>
    <x v="0"/>
    <x v="1"/>
    <n v="1"/>
    <n v="0.26"/>
    <n v="0.2273"/>
    <n v="0.6"/>
    <n v="0.35820000000000002"/>
    <n v="0"/>
    <n v="2"/>
    <n v="2"/>
    <x v="1"/>
    <x v="0"/>
    <x v="0"/>
    <x v="0"/>
    <x v="0"/>
    <x v="0"/>
    <s v="Normal"/>
  </r>
  <r>
    <n v="811"/>
    <d v="2011-02-06T00:00:00"/>
    <n v="1"/>
    <n v="0"/>
    <n v="2"/>
    <x v="5"/>
    <x v="0"/>
    <x v="1"/>
    <n v="1"/>
    <n v="0.26"/>
    <n v="0.2576"/>
    <n v="0.6"/>
    <n v="0.22389999999999999"/>
    <n v="0"/>
    <n v="1"/>
    <n v="1"/>
    <x v="1"/>
    <x v="0"/>
    <x v="0"/>
    <x v="0"/>
    <x v="0"/>
    <x v="0"/>
    <s v="Normal"/>
  </r>
  <r>
    <n v="812"/>
    <d v="2011-02-06T00:00:00"/>
    <n v="1"/>
    <n v="0"/>
    <n v="2"/>
    <x v="6"/>
    <x v="0"/>
    <x v="1"/>
    <n v="1"/>
    <n v="0.26"/>
    <n v="0.2576"/>
    <n v="0.6"/>
    <n v="0.22389999999999999"/>
    <n v="0"/>
    <n v="1"/>
    <n v="1"/>
    <x v="1"/>
    <x v="0"/>
    <x v="0"/>
    <x v="0"/>
    <x v="1"/>
    <x v="0"/>
    <s v="Normal"/>
  </r>
  <r>
    <n v="813"/>
    <d v="2011-02-06T00:00:00"/>
    <n v="1"/>
    <n v="0"/>
    <n v="2"/>
    <x v="7"/>
    <x v="0"/>
    <x v="1"/>
    <n v="1"/>
    <n v="0.24"/>
    <n v="0.2424"/>
    <n v="0.65"/>
    <n v="0.16420000000000001"/>
    <n v="0"/>
    <n v="8"/>
    <n v="8"/>
    <x v="1"/>
    <x v="0"/>
    <x v="1"/>
    <x v="0"/>
    <x v="1"/>
    <x v="0"/>
    <s v="Normal"/>
  </r>
  <r>
    <n v="814"/>
    <d v="2011-02-06T00:00:00"/>
    <n v="1"/>
    <n v="0"/>
    <n v="2"/>
    <x v="8"/>
    <x v="0"/>
    <x v="1"/>
    <n v="1"/>
    <n v="0.24"/>
    <n v="0.2576"/>
    <n v="0.65"/>
    <n v="0.1045"/>
    <n v="2"/>
    <n v="21"/>
    <n v="23"/>
    <x v="1"/>
    <x v="0"/>
    <x v="1"/>
    <x v="0"/>
    <x v="1"/>
    <x v="0"/>
    <s v="Normal"/>
  </r>
  <r>
    <n v="815"/>
    <d v="2011-02-06T00:00:00"/>
    <n v="1"/>
    <n v="0"/>
    <n v="2"/>
    <x v="9"/>
    <x v="0"/>
    <x v="1"/>
    <n v="1"/>
    <n v="0.28000000000000003"/>
    <n v="0.28789999999999999"/>
    <n v="0.56000000000000005"/>
    <n v="0.1045"/>
    <n v="7"/>
    <n v="38"/>
    <n v="45"/>
    <x v="1"/>
    <x v="0"/>
    <x v="1"/>
    <x v="0"/>
    <x v="1"/>
    <x v="0"/>
    <s v="Normal"/>
  </r>
  <r>
    <n v="816"/>
    <d v="2011-02-06T00:00:00"/>
    <n v="1"/>
    <n v="0"/>
    <n v="2"/>
    <x v="10"/>
    <x v="0"/>
    <x v="1"/>
    <n v="1"/>
    <n v="0.3"/>
    <n v="0.28789999999999999"/>
    <n v="0.52"/>
    <n v="0.25369999999999998"/>
    <n v="15"/>
    <n v="74"/>
    <n v="89"/>
    <x v="1"/>
    <x v="0"/>
    <x v="0"/>
    <x v="1"/>
    <x v="1"/>
    <x v="1"/>
    <s v="Normal"/>
  </r>
  <r>
    <n v="817"/>
    <d v="2011-02-06T00:00:00"/>
    <n v="1"/>
    <n v="0"/>
    <n v="2"/>
    <x v="11"/>
    <x v="0"/>
    <x v="1"/>
    <n v="1"/>
    <n v="0.32"/>
    <n v="0.30299999999999999"/>
    <n v="0.49"/>
    <n v="0.25369999999999998"/>
    <n v="28"/>
    <n v="89"/>
    <n v="117"/>
    <x v="1"/>
    <x v="0"/>
    <x v="0"/>
    <x v="1"/>
    <x v="1"/>
    <x v="1"/>
    <s v="Normal"/>
  </r>
  <r>
    <n v="818"/>
    <d v="2011-02-06T00:00:00"/>
    <n v="1"/>
    <n v="0"/>
    <n v="2"/>
    <x v="12"/>
    <x v="0"/>
    <x v="1"/>
    <n v="1"/>
    <n v="0.34"/>
    <n v="0.33329999999999999"/>
    <n v="0.46"/>
    <n v="0"/>
    <n v="48"/>
    <n v="126"/>
    <n v="174"/>
    <x v="1"/>
    <x v="0"/>
    <x v="0"/>
    <x v="2"/>
    <x v="2"/>
    <x v="1"/>
    <s v="⬆ Spike"/>
  </r>
  <r>
    <n v="819"/>
    <d v="2011-02-06T00:00:00"/>
    <n v="1"/>
    <n v="0"/>
    <n v="2"/>
    <x v="13"/>
    <x v="0"/>
    <x v="1"/>
    <n v="1"/>
    <n v="0.34"/>
    <n v="0.36359999999999998"/>
    <n v="0.46"/>
    <n v="0"/>
    <n v="47"/>
    <n v="135"/>
    <n v="182"/>
    <x v="1"/>
    <x v="0"/>
    <x v="0"/>
    <x v="2"/>
    <x v="2"/>
    <x v="1"/>
    <s v="⬆ Spike"/>
  </r>
  <r>
    <n v="820"/>
    <d v="2011-02-06T00:00:00"/>
    <n v="1"/>
    <n v="0"/>
    <n v="2"/>
    <x v="14"/>
    <x v="0"/>
    <x v="1"/>
    <n v="1"/>
    <n v="0.34"/>
    <n v="0.34849999999999998"/>
    <n v="0.46"/>
    <n v="8.9599999999999999E-2"/>
    <n v="47"/>
    <n v="114"/>
    <n v="161"/>
    <x v="1"/>
    <x v="0"/>
    <x v="0"/>
    <x v="2"/>
    <x v="2"/>
    <x v="1"/>
    <s v="⬆ Spike"/>
  </r>
  <r>
    <n v="821"/>
    <d v="2011-02-06T00:00:00"/>
    <n v="1"/>
    <n v="0"/>
    <n v="2"/>
    <x v="15"/>
    <x v="0"/>
    <x v="1"/>
    <n v="1"/>
    <n v="0.34"/>
    <n v="0.34849999999999998"/>
    <n v="0.46"/>
    <n v="8.9599999999999999E-2"/>
    <n v="52"/>
    <n v="130"/>
    <n v="182"/>
    <x v="1"/>
    <x v="0"/>
    <x v="0"/>
    <x v="2"/>
    <x v="2"/>
    <x v="1"/>
    <s v="⬆ Spike"/>
  </r>
  <r>
    <n v="822"/>
    <d v="2011-02-06T00:00:00"/>
    <n v="1"/>
    <n v="0"/>
    <n v="2"/>
    <x v="16"/>
    <x v="0"/>
    <x v="1"/>
    <n v="1"/>
    <n v="0.34"/>
    <n v="0.34849999999999998"/>
    <n v="0.49"/>
    <n v="0.1045"/>
    <n v="42"/>
    <n v="115"/>
    <n v="157"/>
    <x v="1"/>
    <x v="0"/>
    <x v="0"/>
    <x v="2"/>
    <x v="2"/>
    <x v="1"/>
    <s v="Normal"/>
  </r>
  <r>
    <n v="823"/>
    <d v="2011-02-06T00:00:00"/>
    <n v="1"/>
    <n v="0"/>
    <n v="2"/>
    <x v="17"/>
    <x v="0"/>
    <x v="1"/>
    <n v="1"/>
    <n v="0.34"/>
    <n v="0.36359999999999998"/>
    <n v="0.46"/>
    <n v="0"/>
    <n v="24"/>
    <n v="97"/>
    <n v="121"/>
    <x v="1"/>
    <x v="0"/>
    <x v="1"/>
    <x v="1"/>
    <x v="2"/>
    <x v="1"/>
    <s v="Normal"/>
  </r>
  <r>
    <n v="824"/>
    <d v="2011-02-06T00:00:00"/>
    <n v="1"/>
    <n v="0"/>
    <n v="2"/>
    <x v="18"/>
    <x v="0"/>
    <x v="1"/>
    <n v="1"/>
    <n v="0.3"/>
    <n v="0.30299999999999999"/>
    <n v="0.56000000000000005"/>
    <n v="0.16420000000000001"/>
    <n v="13"/>
    <n v="65"/>
    <n v="78"/>
    <x v="1"/>
    <x v="0"/>
    <x v="1"/>
    <x v="1"/>
    <x v="3"/>
    <x v="1"/>
    <s v="Normal"/>
  </r>
  <r>
    <n v="825"/>
    <d v="2011-02-06T00:00:00"/>
    <n v="1"/>
    <n v="0"/>
    <n v="2"/>
    <x v="19"/>
    <x v="0"/>
    <x v="1"/>
    <n v="1"/>
    <n v="0.28000000000000003"/>
    <n v="0.28789999999999999"/>
    <n v="0.61"/>
    <n v="0.1343"/>
    <n v="1"/>
    <n v="20"/>
    <n v="21"/>
    <x v="1"/>
    <x v="0"/>
    <x v="1"/>
    <x v="0"/>
    <x v="3"/>
    <x v="0"/>
    <s v="Normal"/>
  </r>
  <r>
    <n v="826"/>
    <d v="2011-02-06T00:00:00"/>
    <n v="1"/>
    <n v="0"/>
    <n v="2"/>
    <x v="20"/>
    <x v="0"/>
    <x v="1"/>
    <n v="1"/>
    <n v="0.28000000000000003"/>
    <n v="0.28789999999999999"/>
    <n v="0.61"/>
    <n v="0.1045"/>
    <n v="5"/>
    <n v="21"/>
    <n v="26"/>
    <x v="1"/>
    <x v="0"/>
    <x v="0"/>
    <x v="0"/>
    <x v="3"/>
    <x v="0"/>
    <s v="Normal"/>
  </r>
  <r>
    <n v="827"/>
    <d v="2011-02-06T00:00:00"/>
    <n v="1"/>
    <n v="0"/>
    <n v="2"/>
    <x v="21"/>
    <x v="0"/>
    <x v="1"/>
    <n v="1"/>
    <n v="0.26"/>
    <n v="0.30299999999999999"/>
    <n v="0.6"/>
    <n v="0"/>
    <n v="5"/>
    <n v="22"/>
    <n v="27"/>
    <x v="1"/>
    <x v="0"/>
    <x v="0"/>
    <x v="0"/>
    <x v="3"/>
    <x v="0"/>
    <s v="Normal"/>
  </r>
  <r>
    <n v="828"/>
    <d v="2011-02-06T00:00:00"/>
    <n v="1"/>
    <n v="0"/>
    <n v="2"/>
    <x v="22"/>
    <x v="0"/>
    <x v="1"/>
    <n v="1"/>
    <n v="0.26"/>
    <n v="0.30299999999999999"/>
    <n v="0.6"/>
    <n v="0"/>
    <n v="5"/>
    <n v="57"/>
    <n v="62"/>
    <x v="1"/>
    <x v="0"/>
    <x v="0"/>
    <x v="1"/>
    <x v="3"/>
    <x v="0"/>
    <s v="Normal"/>
  </r>
  <r>
    <n v="829"/>
    <d v="2011-02-06T00:00:00"/>
    <n v="1"/>
    <n v="0"/>
    <n v="2"/>
    <x v="23"/>
    <x v="0"/>
    <x v="1"/>
    <n v="1"/>
    <n v="0.24"/>
    <n v="0.28789999999999999"/>
    <n v="0.65"/>
    <n v="0"/>
    <n v="4"/>
    <n v="26"/>
    <n v="30"/>
    <x v="1"/>
    <x v="0"/>
    <x v="0"/>
    <x v="0"/>
    <x v="3"/>
    <x v="0"/>
    <s v="Normal"/>
  </r>
  <r>
    <n v="830"/>
    <d v="2011-02-07T00:00:00"/>
    <n v="1"/>
    <n v="0"/>
    <n v="2"/>
    <x v="0"/>
    <x v="0"/>
    <x v="2"/>
    <n v="1"/>
    <n v="0.24"/>
    <n v="0.28789999999999999"/>
    <n v="0.65"/>
    <n v="0"/>
    <n v="1"/>
    <n v="14"/>
    <n v="15"/>
    <x v="2"/>
    <x v="0"/>
    <x v="0"/>
    <x v="0"/>
    <x v="0"/>
    <x v="0"/>
    <s v="Normal"/>
  </r>
  <r>
    <n v="831"/>
    <d v="2011-02-07T00:00:00"/>
    <n v="1"/>
    <n v="0"/>
    <n v="2"/>
    <x v="1"/>
    <x v="0"/>
    <x v="2"/>
    <n v="1"/>
    <n v="0.22"/>
    <n v="0.2727"/>
    <n v="0.75"/>
    <n v="0"/>
    <n v="1"/>
    <n v="4"/>
    <n v="5"/>
    <x v="2"/>
    <x v="0"/>
    <x v="0"/>
    <x v="0"/>
    <x v="0"/>
    <x v="0"/>
    <s v="Normal"/>
  </r>
  <r>
    <n v="832"/>
    <d v="2011-02-07T00:00:00"/>
    <n v="1"/>
    <n v="0"/>
    <n v="2"/>
    <x v="2"/>
    <x v="0"/>
    <x v="2"/>
    <n v="1"/>
    <n v="0.2"/>
    <n v="0.2576"/>
    <n v="0.8"/>
    <n v="0"/>
    <n v="0"/>
    <n v="3"/>
    <n v="3"/>
    <x v="2"/>
    <x v="0"/>
    <x v="0"/>
    <x v="0"/>
    <x v="0"/>
    <x v="0"/>
    <s v="Normal"/>
  </r>
  <r>
    <n v="833"/>
    <d v="2011-02-07T00:00:00"/>
    <n v="1"/>
    <n v="0"/>
    <n v="2"/>
    <x v="3"/>
    <x v="0"/>
    <x v="2"/>
    <n v="1"/>
    <n v="0.2"/>
    <n v="0.2576"/>
    <n v="0.86"/>
    <n v="0"/>
    <n v="0"/>
    <n v="1"/>
    <n v="1"/>
    <x v="2"/>
    <x v="0"/>
    <x v="0"/>
    <x v="0"/>
    <x v="0"/>
    <x v="0"/>
    <s v="Normal"/>
  </r>
  <r>
    <n v="834"/>
    <d v="2011-02-07T00:00:00"/>
    <n v="1"/>
    <n v="0"/>
    <n v="2"/>
    <x v="4"/>
    <x v="0"/>
    <x v="2"/>
    <n v="1"/>
    <n v="0.2"/>
    <n v="0.2576"/>
    <n v="0.86"/>
    <n v="0"/>
    <n v="1"/>
    <n v="1"/>
    <n v="2"/>
    <x v="2"/>
    <x v="0"/>
    <x v="0"/>
    <x v="0"/>
    <x v="0"/>
    <x v="0"/>
    <s v="Normal"/>
  </r>
  <r>
    <n v="835"/>
    <d v="2011-02-07T00:00:00"/>
    <n v="1"/>
    <n v="0"/>
    <n v="2"/>
    <x v="5"/>
    <x v="0"/>
    <x v="2"/>
    <n v="1"/>
    <n v="0.2"/>
    <n v="0.2576"/>
    <n v="0.86"/>
    <n v="0"/>
    <n v="1"/>
    <n v="9"/>
    <n v="10"/>
    <x v="2"/>
    <x v="0"/>
    <x v="0"/>
    <x v="0"/>
    <x v="0"/>
    <x v="0"/>
    <s v="Normal"/>
  </r>
  <r>
    <n v="836"/>
    <d v="2011-02-07T00:00:00"/>
    <n v="1"/>
    <n v="0"/>
    <n v="2"/>
    <x v="6"/>
    <x v="0"/>
    <x v="2"/>
    <n v="1"/>
    <n v="0.18"/>
    <n v="0.2424"/>
    <n v="0.93"/>
    <n v="0"/>
    <n v="1"/>
    <n v="29"/>
    <n v="30"/>
    <x v="2"/>
    <x v="0"/>
    <x v="0"/>
    <x v="0"/>
    <x v="1"/>
    <x v="3"/>
    <s v="Normal"/>
  </r>
  <r>
    <n v="837"/>
    <d v="2011-02-07T00:00:00"/>
    <n v="1"/>
    <n v="0"/>
    <n v="2"/>
    <x v="7"/>
    <x v="0"/>
    <x v="2"/>
    <n v="1"/>
    <n v="0.18"/>
    <n v="0.2424"/>
    <n v="0.86"/>
    <n v="0"/>
    <n v="6"/>
    <n v="89"/>
    <n v="95"/>
    <x v="2"/>
    <x v="0"/>
    <x v="1"/>
    <x v="1"/>
    <x v="1"/>
    <x v="3"/>
    <s v="Normal"/>
  </r>
  <r>
    <n v="838"/>
    <d v="2011-02-07T00:00:00"/>
    <n v="1"/>
    <n v="0"/>
    <n v="2"/>
    <x v="8"/>
    <x v="0"/>
    <x v="2"/>
    <n v="2"/>
    <n v="0.16"/>
    <n v="0.2273"/>
    <n v="1"/>
    <n v="0"/>
    <n v="7"/>
    <n v="223"/>
    <n v="230"/>
    <x v="2"/>
    <x v="1"/>
    <x v="1"/>
    <x v="2"/>
    <x v="1"/>
    <x v="3"/>
    <s v="⬆ Spike"/>
  </r>
  <r>
    <n v="839"/>
    <d v="2011-02-07T00:00:00"/>
    <n v="1"/>
    <n v="0"/>
    <n v="2"/>
    <x v="9"/>
    <x v="0"/>
    <x v="2"/>
    <n v="1"/>
    <n v="0.22"/>
    <n v="0.2727"/>
    <n v="0.8"/>
    <n v="0"/>
    <n v="3"/>
    <n v="115"/>
    <n v="118"/>
    <x v="2"/>
    <x v="0"/>
    <x v="1"/>
    <x v="1"/>
    <x v="1"/>
    <x v="0"/>
    <s v="Normal"/>
  </r>
  <r>
    <n v="840"/>
    <d v="2011-02-07T00:00:00"/>
    <n v="1"/>
    <n v="0"/>
    <n v="2"/>
    <x v="10"/>
    <x v="0"/>
    <x v="2"/>
    <n v="1"/>
    <n v="0.24"/>
    <n v="0.2576"/>
    <n v="0.75"/>
    <n v="0.1045"/>
    <n v="6"/>
    <n v="49"/>
    <n v="55"/>
    <x v="2"/>
    <x v="0"/>
    <x v="0"/>
    <x v="1"/>
    <x v="1"/>
    <x v="0"/>
    <s v="Normal"/>
  </r>
  <r>
    <n v="841"/>
    <d v="2011-02-07T00:00:00"/>
    <n v="1"/>
    <n v="0"/>
    <n v="2"/>
    <x v="11"/>
    <x v="0"/>
    <x v="2"/>
    <n v="1"/>
    <n v="0.3"/>
    <n v="0.31819999999999998"/>
    <n v="0.65"/>
    <n v="8.9599999999999999E-2"/>
    <n v="11"/>
    <n v="36"/>
    <n v="47"/>
    <x v="2"/>
    <x v="0"/>
    <x v="0"/>
    <x v="0"/>
    <x v="1"/>
    <x v="1"/>
    <s v="Normal"/>
  </r>
  <r>
    <n v="842"/>
    <d v="2011-02-07T00:00:00"/>
    <n v="1"/>
    <n v="0"/>
    <n v="2"/>
    <x v="12"/>
    <x v="0"/>
    <x v="2"/>
    <n v="2"/>
    <n v="0.32"/>
    <n v="0.34849999999999998"/>
    <n v="0.62"/>
    <n v="0"/>
    <n v="7"/>
    <n v="59"/>
    <n v="66"/>
    <x v="2"/>
    <x v="1"/>
    <x v="0"/>
    <x v="1"/>
    <x v="2"/>
    <x v="1"/>
    <s v="Normal"/>
  </r>
  <r>
    <n v="843"/>
    <d v="2011-02-07T00:00:00"/>
    <n v="1"/>
    <n v="0"/>
    <n v="2"/>
    <x v="13"/>
    <x v="0"/>
    <x v="2"/>
    <n v="2"/>
    <n v="0.36"/>
    <n v="0.36359999999999998"/>
    <n v="0.56999999999999995"/>
    <n v="8.9599999999999999E-2"/>
    <n v="10"/>
    <n v="54"/>
    <n v="64"/>
    <x v="2"/>
    <x v="1"/>
    <x v="0"/>
    <x v="1"/>
    <x v="2"/>
    <x v="1"/>
    <s v="Normal"/>
  </r>
  <r>
    <n v="844"/>
    <d v="2011-02-07T00:00:00"/>
    <n v="1"/>
    <n v="0"/>
    <n v="2"/>
    <x v="14"/>
    <x v="0"/>
    <x v="2"/>
    <n v="2"/>
    <n v="0.36"/>
    <n v="0.36359999999999998"/>
    <n v="0.56999999999999995"/>
    <n v="8.9599999999999999E-2"/>
    <n v="8"/>
    <n v="52"/>
    <n v="60"/>
    <x v="2"/>
    <x v="1"/>
    <x v="0"/>
    <x v="1"/>
    <x v="2"/>
    <x v="1"/>
    <s v="Normal"/>
  </r>
  <r>
    <n v="845"/>
    <d v="2011-02-07T00:00:00"/>
    <n v="1"/>
    <n v="0"/>
    <n v="2"/>
    <x v="15"/>
    <x v="0"/>
    <x v="2"/>
    <n v="2"/>
    <n v="0.38"/>
    <n v="0.39389999999999997"/>
    <n v="0.54"/>
    <n v="8.9599999999999999E-2"/>
    <n v="4"/>
    <n v="46"/>
    <n v="50"/>
    <x v="2"/>
    <x v="1"/>
    <x v="0"/>
    <x v="0"/>
    <x v="2"/>
    <x v="1"/>
    <s v="Normal"/>
  </r>
  <r>
    <n v="846"/>
    <d v="2011-02-07T00:00:00"/>
    <n v="1"/>
    <n v="0"/>
    <n v="2"/>
    <x v="16"/>
    <x v="0"/>
    <x v="2"/>
    <n v="2"/>
    <n v="0.36"/>
    <n v="0.34849999999999998"/>
    <n v="0.56999999999999995"/>
    <n v="0.1343"/>
    <n v="16"/>
    <n v="98"/>
    <n v="114"/>
    <x v="2"/>
    <x v="1"/>
    <x v="0"/>
    <x v="1"/>
    <x v="2"/>
    <x v="1"/>
    <s v="Normal"/>
  </r>
  <r>
    <n v="847"/>
    <d v="2011-02-07T00:00:00"/>
    <n v="1"/>
    <n v="0"/>
    <n v="2"/>
    <x v="17"/>
    <x v="0"/>
    <x v="2"/>
    <n v="2"/>
    <n v="0.32"/>
    <n v="0.31819999999999998"/>
    <n v="0.7"/>
    <n v="0.16420000000000001"/>
    <n v="9"/>
    <n v="207"/>
    <n v="216"/>
    <x v="2"/>
    <x v="1"/>
    <x v="1"/>
    <x v="2"/>
    <x v="2"/>
    <x v="1"/>
    <s v="⬆ Spike"/>
  </r>
  <r>
    <n v="848"/>
    <d v="2011-02-07T00:00:00"/>
    <n v="1"/>
    <n v="0"/>
    <n v="2"/>
    <x v="18"/>
    <x v="0"/>
    <x v="2"/>
    <n v="2"/>
    <n v="0.34"/>
    <n v="0.33329999999999999"/>
    <n v="0.66"/>
    <n v="0.1343"/>
    <n v="5"/>
    <n v="170"/>
    <n v="175"/>
    <x v="2"/>
    <x v="1"/>
    <x v="1"/>
    <x v="2"/>
    <x v="3"/>
    <x v="1"/>
    <s v="⬆ Spike"/>
  </r>
  <r>
    <n v="849"/>
    <d v="2011-02-07T00:00:00"/>
    <n v="1"/>
    <n v="0"/>
    <n v="2"/>
    <x v="19"/>
    <x v="0"/>
    <x v="2"/>
    <n v="2"/>
    <n v="0.32"/>
    <n v="0.34849999999999998"/>
    <n v="0.7"/>
    <n v="0"/>
    <n v="5"/>
    <n v="123"/>
    <n v="128"/>
    <x v="2"/>
    <x v="1"/>
    <x v="1"/>
    <x v="1"/>
    <x v="3"/>
    <x v="1"/>
    <s v="Normal"/>
  </r>
  <r>
    <n v="850"/>
    <d v="2011-02-07T00:00:00"/>
    <n v="1"/>
    <n v="0"/>
    <n v="2"/>
    <x v="20"/>
    <x v="0"/>
    <x v="2"/>
    <n v="2"/>
    <n v="0.32"/>
    <n v="0.33329999999999999"/>
    <n v="0.7"/>
    <n v="0.1045"/>
    <n v="6"/>
    <n v="82"/>
    <n v="88"/>
    <x v="2"/>
    <x v="1"/>
    <x v="0"/>
    <x v="1"/>
    <x v="3"/>
    <x v="1"/>
    <s v="Normal"/>
  </r>
  <r>
    <n v="851"/>
    <d v="2011-02-07T00:00:00"/>
    <n v="1"/>
    <n v="0"/>
    <n v="2"/>
    <x v="21"/>
    <x v="0"/>
    <x v="2"/>
    <n v="1"/>
    <n v="0.32"/>
    <n v="0.34849999999999998"/>
    <n v="0.7"/>
    <n v="0"/>
    <n v="3"/>
    <n v="75"/>
    <n v="78"/>
    <x v="2"/>
    <x v="0"/>
    <x v="0"/>
    <x v="1"/>
    <x v="3"/>
    <x v="1"/>
    <s v="Normal"/>
  </r>
  <r>
    <n v="852"/>
    <d v="2011-02-07T00:00:00"/>
    <n v="1"/>
    <n v="0"/>
    <n v="2"/>
    <x v="22"/>
    <x v="0"/>
    <x v="2"/>
    <n v="1"/>
    <n v="0.28000000000000003"/>
    <n v="0.30299999999999999"/>
    <n v="0.81"/>
    <n v="8.9599999999999999E-2"/>
    <n v="3"/>
    <n v="34"/>
    <n v="37"/>
    <x v="2"/>
    <x v="0"/>
    <x v="0"/>
    <x v="0"/>
    <x v="3"/>
    <x v="0"/>
    <s v="Normal"/>
  </r>
  <r>
    <n v="853"/>
    <d v="2011-02-07T00:00:00"/>
    <n v="1"/>
    <n v="0"/>
    <n v="2"/>
    <x v="23"/>
    <x v="0"/>
    <x v="2"/>
    <n v="2"/>
    <n v="0.3"/>
    <n v="0.33329999999999999"/>
    <n v="0.81"/>
    <n v="0"/>
    <n v="6"/>
    <n v="19"/>
    <n v="25"/>
    <x v="2"/>
    <x v="1"/>
    <x v="0"/>
    <x v="0"/>
    <x v="3"/>
    <x v="1"/>
    <s v="Normal"/>
  </r>
  <r>
    <n v="854"/>
    <d v="2011-02-08T00:00:00"/>
    <n v="1"/>
    <n v="0"/>
    <n v="2"/>
    <x v="0"/>
    <x v="0"/>
    <x v="3"/>
    <n v="2"/>
    <n v="0.28000000000000003"/>
    <n v="0.31819999999999998"/>
    <n v="0.87"/>
    <n v="0"/>
    <n v="4"/>
    <n v="6"/>
    <n v="10"/>
    <x v="3"/>
    <x v="1"/>
    <x v="0"/>
    <x v="0"/>
    <x v="0"/>
    <x v="0"/>
    <s v="Normal"/>
  </r>
  <r>
    <n v="855"/>
    <d v="2011-02-08T00:00:00"/>
    <n v="1"/>
    <n v="0"/>
    <n v="2"/>
    <x v="1"/>
    <x v="0"/>
    <x v="3"/>
    <n v="2"/>
    <n v="0.28000000000000003"/>
    <n v="0.31819999999999998"/>
    <n v="0.87"/>
    <n v="0"/>
    <n v="0"/>
    <n v="4"/>
    <n v="4"/>
    <x v="3"/>
    <x v="1"/>
    <x v="0"/>
    <x v="0"/>
    <x v="0"/>
    <x v="0"/>
    <s v="Normal"/>
  </r>
  <r>
    <n v="856"/>
    <d v="2011-02-08T00:00:00"/>
    <n v="1"/>
    <n v="0"/>
    <n v="2"/>
    <x v="2"/>
    <x v="0"/>
    <x v="3"/>
    <n v="2"/>
    <n v="0.26"/>
    <n v="0.2727"/>
    <n v="0.93"/>
    <n v="0.1045"/>
    <n v="1"/>
    <n v="1"/>
    <n v="2"/>
    <x v="3"/>
    <x v="1"/>
    <x v="0"/>
    <x v="0"/>
    <x v="0"/>
    <x v="0"/>
    <s v="Normal"/>
  </r>
  <r>
    <n v="857"/>
    <d v="2011-02-08T00:00:00"/>
    <n v="1"/>
    <n v="0"/>
    <n v="2"/>
    <x v="3"/>
    <x v="0"/>
    <x v="3"/>
    <n v="3"/>
    <n v="0.28000000000000003"/>
    <n v="0.2727"/>
    <n v="0.93"/>
    <n v="0.16420000000000001"/>
    <n v="0"/>
    <n v="1"/>
    <n v="1"/>
    <x v="3"/>
    <x v="2"/>
    <x v="0"/>
    <x v="0"/>
    <x v="0"/>
    <x v="0"/>
    <s v="Normal"/>
  </r>
  <r>
    <n v="858"/>
    <d v="2011-02-08T00:00:00"/>
    <n v="1"/>
    <n v="0"/>
    <n v="2"/>
    <x v="4"/>
    <x v="0"/>
    <x v="3"/>
    <n v="1"/>
    <n v="0.26"/>
    <n v="0.2576"/>
    <n v="0.93"/>
    <n v="0.16420000000000001"/>
    <n v="0"/>
    <n v="3"/>
    <n v="3"/>
    <x v="3"/>
    <x v="0"/>
    <x v="0"/>
    <x v="0"/>
    <x v="0"/>
    <x v="0"/>
    <s v="Normal"/>
  </r>
  <r>
    <n v="859"/>
    <d v="2011-02-08T00:00:00"/>
    <n v="1"/>
    <n v="0"/>
    <n v="2"/>
    <x v="5"/>
    <x v="0"/>
    <x v="3"/>
    <n v="1"/>
    <n v="0.26"/>
    <n v="0.2273"/>
    <n v="0.81"/>
    <n v="0.32840000000000003"/>
    <n v="0"/>
    <n v="2"/>
    <n v="2"/>
    <x v="3"/>
    <x v="0"/>
    <x v="0"/>
    <x v="0"/>
    <x v="0"/>
    <x v="0"/>
    <s v="Normal"/>
  </r>
  <r>
    <n v="860"/>
    <d v="2011-02-08T00:00:00"/>
    <n v="1"/>
    <n v="0"/>
    <n v="2"/>
    <x v="6"/>
    <x v="0"/>
    <x v="3"/>
    <n v="1"/>
    <n v="0.26"/>
    <n v="0.2273"/>
    <n v="0.7"/>
    <n v="0.32840000000000003"/>
    <n v="0"/>
    <n v="39"/>
    <n v="39"/>
    <x v="3"/>
    <x v="0"/>
    <x v="0"/>
    <x v="0"/>
    <x v="1"/>
    <x v="0"/>
    <s v="Normal"/>
  </r>
  <r>
    <n v="861"/>
    <d v="2011-02-08T00:00:00"/>
    <n v="1"/>
    <n v="0"/>
    <n v="2"/>
    <x v="7"/>
    <x v="0"/>
    <x v="3"/>
    <n v="1"/>
    <n v="0.24"/>
    <n v="0.19700000000000001"/>
    <n v="0.65"/>
    <n v="0.41789999999999999"/>
    <n v="3"/>
    <n v="97"/>
    <n v="100"/>
    <x v="3"/>
    <x v="0"/>
    <x v="1"/>
    <x v="1"/>
    <x v="1"/>
    <x v="0"/>
    <s v="Normal"/>
  </r>
  <r>
    <n v="862"/>
    <d v="2011-02-08T00:00:00"/>
    <n v="1"/>
    <n v="0"/>
    <n v="2"/>
    <x v="8"/>
    <x v="0"/>
    <x v="3"/>
    <n v="1"/>
    <n v="0.24"/>
    <n v="0.19700000000000001"/>
    <n v="0.56000000000000005"/>
    <n v="0.49249999999999999"/>
    <n v="7"/>
    <n v="236"/>
    <n v="243"/>
    <x v="3"/>
    <x v="0"/>
    <x v="1"/>
    <x v="2"/>
    <x v="1"/>
    <x v="0"/>
    <s v="⬆ Spike"/>
  </r>
  <r>
    <n v="863"/>
    <d v="2011-02-08T00:00:00"/>
    <n v="1"/>
    <n v="0"/>
    <n v="2"/>
    <x v="9"/>
    <x v="0"/>
    <x v="3"/>
    <n v="1"/>
    <n v="0.24"/>
    <n v="0.19700000000000001"/>
    <n v="0.52"/>
    <n v="0.49249999999999999"/>
    <n v="7"/>
    <n v="128"/>
    <n v="135"/>
    <x v="3"/>
    <x v="0"/>
    <x v="1"/>
    <x v="1"/>
    <x v="1"/>
    <x v="0"/>
    <s v="Normal"/>
  </r>
  <r>
    <n v="864"/>
    <d v="2011-02-08T00:00:00"/>
    <n v="1"/>
    <n v="0"/>
    <n v="2"/>
    <x v="10"/>
    <x v="0"/>
    <x v="3"/>
    <n v="1"/>
    <n v="0.22"/>
    <n v="0.18179999999999999"/>
    <n v="0.47"/>
    <n v="0.55220000000000002"/>
    <n v="4"/>
    <n v="44"/>
    <n v="48"/>
    <x v="3"/>
    <x v="0"/>
    <x v="0"/>
    <x v="0"/>
    <x v="1"/>
    <x v="0"/>
    <s v="Normal"/>
  </r>
  <r>
    <n v="865"/>
    <d v="2011-02-08T00:00:00"/>
    <n v="1"/>
    <n v="0"/>
    <n v="2"/>
    <x v="11"/>
    <x v="0"/>
    <x v="3"/>
    <n v="1"/>
    <n v="0.22"/>
    <n v="0.18179999999999999"/>
    <n v="0.47"/>
    <n v="0.4627"/>
    <n v="1"/>
    <n v="49"/>
    <n v="50"/>
    <x v="3"/>
    <x v="0"/>
    <x v="0"/>
    <x v="0"/>
    <x v="1"/>
    <x v="0"/>
    <s v="Normal"/>
  </r>
  <r>
    <n v="866"/>
    <d v="2011-02-08T00:00:00"/>
    <n v="1"/>
    <n v="0"/>
    <n v="2"/>
    <x v="12"/>
    <x v="0"/>
    <x v="3"/>
    <n v="1"/>
    <n v="0.24"/>
    <n v="0.19700000000000001"/>
    <n v="0.38"/>
    <n v="0.49249999999999999"/>
    <n v="2"/>
    <n v="63"/>
    <n v="65"/>
    <x v="3"/>
    <x v="0"/>
    <x v="0"/>
    <x v="1"/>
    <x v="2"/>
    <x v="0"/>
    <s v="Normal"/>
  </r>
  <r>
    <n v="867"/>
    <d v="2011-02-08T00:00:00"/>
    <n v="1"/>
    <n v="0"/>
    <n v="2"/>
    <x v="13"/>
    <x v="0"/>
    <x v="3"/>
    <n v="2"/>
    <n v="0.24"/>
    <n v="0.19700000000000001"/>
    <n v="0.32"/>
    <n v="0.44779999999999998"/>
    <n v="2"/>
    <n v="48"/>
    <n v="50"/>
    <x v="3"/>
    <x v="1"/>
    <x v="0"/>
    <x v="0"/>
    <x v="2"/>
    <x v="0"/>
    <s v="Normal"/>
  </r>
  <r>
    <n v="868"/>
    <d v="2011-02-08T00:00:00"/>
    <n v="1"/>
    <n v="0"/>
    <n v="2"/>
    <x v="14"/>
    <x v="0"/>
    <x v="3"/>
    <n v="1"/>
    <n v="0.22"/>
    <n v="0.19700000000000001"/>
    <n v="0.37"/>
    <n v="0.41789999999999999"/>
    <n v="3"/>
    <n v="61"/>
    <n v="64"/>
    <x v="3"/>
    <x v="0"/>
    <x v="0"/>
    <x v="1"/>
    <x v="2"/>
    <x v="0"/>
    <s v="Normal"/>
  </r>
  <r>
    <n v="869"/>
    <d v="2011-02-08T00:00:00"/>
    <n v="1"/>
    <n v="0"/>
    <n v="2"/>
    <x v="15"/>
    <x v="0"/>
    <x v="3"/>
    <n v="1"/>
    <n v="0.22"/>
    <n v="0.19700000000000001"/>
    <n v="0.35"/>
    <n v="0.3881"/>
    <n v="6"/>
    <n v="45"/>
    <n v="51"/>
    <x v="3"/>
    <x v="0"/>
    <x v="0"/>
    <x v="1"/>
    <x v="2"/>
    <x v="0"/>
    <s v="Normal"/>
  </r>
  <r>
    <n v="870"/>
    <d v="2011-02-08T00:00:00"/>
    <n v="1"/>
    <n v="0"/>
    <n v="2"/>
    <x v="16"/>
    <x v="0"/>
    <x v="3"/>
    <n v="1"/>
    <n v="0.22"/>
    <n v="0.18179999999999999"/>
    <n v="0.35"/>
    <n v="0.52239999999999998"/>
    <n v="4"/>
    <n v="79"/>
    <n v="83"/>
    <x v="3"/>
    <x v="0"/>
    <x v="0"/>
    <x v="1"/>
    <x v="2"/>
    <x v="0"/>
    <s v="Normal"/>
  </r>
  <r>
    <n v="871"/>
    <d v="2011-02-08T00:00:00"/>
    <n v="1"/>
    <n v="0"/>
    <n v="2"/>
    <x v="17"/>
    <x v="0"/>
    <x v="3"/>
    <n v="1"/>
    <n v="0.22"/>
    <n v="0.18179999999999999"/>
    <n v="0.32"/>
    <n v="0.58209999999999995"/>
    <n v="4"/>
    <n v="172"/>
    <n v="176"/>
    <x v="3"/>
    <x v="0"/>
    <x v="1"/>
    <x v="2"/>
    <x v="2"/>
    <x v="0"/>
    <s v="⬆ Spike"/>
  </r>
  <r>
    <n v="872"/>
    <d v="2011-02-08T00:00:00"/>
    <n v="1"/>
    <n v="0"/>
    <n v="2"/>
    <x v="18"/>
    <x v="0"/>
    <x v="3"/>
    <n v="1"/>
    <n v="0.2"/>
    <n v="0.18179999999999999"/>
    <n v="0.32"/>
    <n v="0.3881"/>
    <n v="1"/>
    <n v="151"/>
    <n v="152"/>
    <x v="3"/>
    <x v="0"/>
    <x v="1"/>
    <x v="2"/>
    <x v="3"/>
    <x v="0"/>
    <s v="Normal"/>
  </r>
  <r>
    <n v="873"/>
    <d v="2011-02-08T00:00:00"/>
    <n v="1"/>
    <n v="0"/>
    <n v="2"/>
    <x v="19"/>
    <x v="0"/>
    <x v="3"/>
    <n v="1"/>
    <n v="0.16"/>
    <n v="0.1212"/>
    <n v="0.4"/>
    <n v="0.4627"/>
    <n v="1"/>
    <n v="100"/>
    <n v="101"/>
    <x v="3"/>
    <x v="0"/>
    <x v="1"/>
    <x v="1"/>
    <x v="3"/>
    <x v="3"/>
    <s v="Normal"/>
  </r>
  <r>
    <n v="874"/>
    <d v="2011-02-08T00:00:00"/>
    <n v="1"/>
    <n v="0"/>
    <n v="2"/>
    <x v="20"/>
    <x v="0"/>
    <x v="3"/>
    <n v="1"/>
    <n v="0.16"/>
    <n v="0.13639999999999999"/>
    <n v="0.4"/>
    <n v="0.32840000000000003"/>
    <n v="3"/>
    <n v="53"/>
    <n v="56"/>
    <x v="3"/>
    <x v="0"/>
    <x v="0"/>
    <x v="1"/>
    <x v="3"/>
    <x v="3"/>
    <s v="Normal"/>
  </r>
  <r>
    <n v="875"/>
    <d v="2011-02-08T00:00:00"/>
    <n v="1"/>
    <n v="0"/>
    <n v="2"/>
    <x v="21"/>
    <x v="0"/>
    <x v="3"/>
    <n v="1"/>
    <n v="0.14000000000000001"/>
    <n v="0.1061"/>
    <n v="0.33"/>
    <n v="0.4627"/>
    <n v="8"/>
    <n v="46"/>
    <n v="54"/>
    <x v="3"/>
    <x v="0"/>
    <x v="0"/>
    <x v="1"/>
    <x v="3"/>
    <x v="3"/>
    <s v="Normal"/>
  </r>
  <r>
    <n v="876"/>
    <d v="2011-02-08T00:00:00"/>
    <n v="1"/>
    <n v="0"/>
    <n v="2"/>
    <x v="22"/>
    <x v="0"/>
    <x v="3"/>
    <n v="1"/>
    <n v="0.12"/>
    <n v="0.1061"/>
    <n v="0.33"/>
    <n v="0.35820000000000002"/>
    <n v="0"/>
    <n v="29"/>
    <n v="29"/>
    <x v="3"/>
    <x v="0"/>
    <x v="0"/>
    <x v="0"/>
    <x v="3"/>
    <x v="3"/>
    <s v="Normal"/>
  </r>
  <r>
    <n v="877"/>
    <d v="2011-02-08T00:00:00"/>
    <n v="1"/>
    <n v="0"/>
    <n v="2"/>
    <x v="23"/>
    <x v="0"/>
    <x v="3"/>
    <n v="1"/>
    <n v="0.12"/>
    <n v="0.1061"/>
    <n v="0.33"/>
    <n v="0.32840000000000003"/>
    <n v="3"/>
    <n v="9"/>
    <n v="12"/>
    <x v="3"/>
    <x v="0"/>
    <x v="0"/>
    <x v="0"/>
    <x v="3"/>
    <x v="3"/>
    <s v="Normal"/>
  </r>
  <r>
    <n v="878"/>
    <d v="2011-02-09T00:00:00"/>
    <n v="1"/>
    <n v="0"/>
    <n v="2"/>
    <x v="0"/>
    <x v="0"/>
    <x v="4"/>
    <n v="1"/>
    <n v="0.1"/>
    <n v="7.5800000000000006E-2"/>
    <n v="0.36"/>
    <n v="0.35820000000000002"/>
    <n v="0"/>
    <n v="17"/>
    <n v="17"/>
    <x v="4"/>
    <x v="0"/>
    <x v="0"/>
    <x v="0"/>
    <x v="0"/>
    <x v="3"/>
    <s v="Normal"/>
  </r>
  <r>
    <n v="879"/>
    <d v="2011-02-09T00:00:00"/>
    <n v="1"/>
    <n v="0"/>
    <n v="2"/>
    <x v="1"/>
    <x v="0"/>
    <x v="4"/>
    <n v="1"/>
    <n v="0.1"/>
    <n v="0.1061"/>
    <n v="0.36"/>
    <n v="0.22389999999999999"/>
    <n v="0"/>
    <n v="7"/>
    <n v="7"/>
    <x v="4"/>
    <x v="0"/>
    <x v="0"/>
    <x v="0"/>
    <x v="0"/>
    <x v="3"/>
    <s v="Normal"/>
  </r>
  <r>
    <n v="880"/>
    <d v="2011-02-09T00:00:00"/>
    <n v="1"/>
    <n v="0"/>
    <n v="2"/>
    <x v="2"/>
    <x v="0"/>
    <x v="4"/>
    <n v="1"/>
    <n v="0.08"/>
    <n v="7.5800000000000006E-2"/>
    <n v="0.38"/>
    <n v="0.28360000000000002"/>
    <n v="1"/>
    <n v="2"/>
    <n v="3"/>
    <x v="4"/>
    <x v="0"/>
    <x v="0"/>
    <x v="0"/>
    <x v="0"/>
    <x v="4"/>
    <s v="Normal"/>
  </r>
  <r>
    <n v="881"/>
    <d v="2011-02-09T00:00:00"/>
    <n v="1"/>
    <n v="0"/>
    <n v="2"/>
    <x v="3"/>
    <x v="0"/>
    <x v="4"/>
    <n v="1"/>
    <n v="0.06"/>
    <n v="7.5800000000000006E-2"/>
    <n v="0.45"/>
    <n v="0.1343"/>
    <n v="0"/>
    <n v="2"/>
    <n v="2"/>
    <x v="4"/>
    <x v="0"/>
    <x v="0"/>
    <x v="0"/>
    <x v="0"/>
    <x v="4"/>
    <s v="Normal"/>
  </r>
  <r>
    <n v="882"/>
    <d v="2011-02-09T00:00:00"/>
    <n v="1"/>
    <n v="0"/>
    <n v="2"/>
    <x v="5"/>
    <x v="0"/>
    <x v="4"/>
    <n v="1"/>
    <n v="0.06"/>
    <n v="0.1061"/>
    <n v="0.45"/>
    <n v="0.1045"/>
    <n v="0"/>
    <n v="7"/>
    <n v="7"/>
    <x v="4"/>
    <x v="0"/>
    <x v="0"/>
    <x v="0"/>
    <x v="0"/>
    <x v="4"/>
    <s v="Normal"/>
  </r>
  <r>
    <n v="883"/>
    <d v="2011-02-09T00:00:00"/>
    <n v="1"/>
    <n v="0"/>
    <n v="2"/>
    <x v="6"/>
    <x v="0"/>
    <x v="4"/>
    <n v="1"/>
    <n v="0.06"/>
    <n v="0.1515"/>
    <n v="0.45"/>
    <n v="0"/>
    <n v="0"/>
    <n v="43"/>
    <n v="43"/>
    <x v="4"/>
    <x v="0"/>
    <x v="0"/>
    <x v="0"/>
    <x v="1"/>
    <x v="4"/>
    <s v="Normal"/>
  </r>
  <r>
    <n v="884"/>
    <d v="2011-02-09T00:00:00"/>
    <n v="1"/>
    <n v="0"/>
    <n v="2"/>
    <x v="7"/>
    <x v="0"/>
    <x v="4"/>
    <n v="1"/>
    <n v="0.06"/>
    <n v="0.1061"/>
    <n v="0.49"/>
    <n v="0.1045"/>
    <n v="4"/>
    <n v="95"/>
    <n v="99"/>
    <x v="4"/>
    <x v="0"/>
    <x v="1"/>
    <x v="1"/>
    <x v="1"/>
    <x v="4"/>
    <s v="Normal"/>
  </r>
  <r>
    <n v="885"/>
    <d v="2011-02-09T00:00:00"/>
    <n v="1"/>
    <n v="0"/>
    <n v="2"/>
    <x v="8"/>
    <x v="0"/>
    <x v="4"/>
    <n v="1"/>
    <n v="0.1"/>
    <n v="0.13639999999999999"/>
    <n v="0.42"/>
    <n v="0"/>
    <n v="1"/>
    <n v="198"/>
    <n v="199"/>
    <x v="4"/>
    <x v="0"/>
    <x v="1"/>
    <x v="2"/>
    <x v="1"/>
    <x v="3"/>
    <s v="⬆ Spike"/>
  </r>
  <r>
    <n v="886"/>
    <d v="2011-02-09T00:00:00"/>
    <n v="1"/>
    <n v="0"/>
    <n v="2"/>
    <x v="9"/>
    <x v="0"/>
    <x v="4"/>
    <n v="1"/>
    <n v="0.12"/>
    <n v="0.13639999999999999"/>
    <n v="0.39"/>
    <n v="0.16420000000000001"/>
    <n v="4"/>
    <n v="119"/>
    <n v="123"/>
    <x v="4"/>
    <x v="0"/>
    <x v="1"/>
    <x v="1"/>
    <x v="1"/>
    <x v="3"/>
    <s v="Normal"/>
  </r>
  <r>
    <n v="887"/>
    <d v="2011-02-09T00:00:00"/>
    <n v="1"/>
    <n v="0"/>
    <n v="2"/>
    <x v="10"/>
    <x v="0"/>
    <x v="4"/>
    <n v="1"/>
    <n v="0.14000000000000001"/>
    <n v="0.18179999999999999"/>
    <n v="0.36"/>
    <n v="0"/>
    <n v="8"/>
    <n v="51"/>
    <n v="59"/>
    <x v="4"/>
    <x v="0"/>
    <x v="0"/>
    <x v="1"/>
    <x v="1"/>
    <x v="3"/>
    <s v="Normal"/>
  </r>
  <r>
    <n v="888"/>
    <d v="2011-02-09T00:00:00"/>
    <n v="1"/>
    <n v="0"/>
    <n v="2"/>
    <x v="11"/>
    <x v="0"/>
    <x v="4"/>
    <n v="2"/>
    <n v="0.14000000000000001"/>
    <n v="0.1515"/>
    <n v="0.43"/>
    <n v="0.16420000000000001"/>
    <n v="1"/>
    <n v="40"/>
    <n v="41"/>
    <x v="4"/>
    <x v="1"/>
    <x v="0"/>
    <x v="0"/>
    <x v="1"/>
    <x v="3"/>
    <s v="Normal"/>
  </r>
  <r>
    <n v="889"/>
    <d v="2011-02-09T00:00:00"/>
    <n v="1"/>
    <n v="0"/>
    <n v="2"/>
    <x v="12"/>
    <x v="0"/>
    <x v="4"/>
    <n v="2"/>
    <n v="0.18"/>
    <n v="0.18179999999999999"/>
    <n v="0.4"/>
    <n v="0.22389999999999999"/>
    <n v="4"/>
    <n v="57"/>
    <n v="61"/>
    <x v="4"/>
    <x v="1"/>
    <x v="0"/>
    <x v="1"/>
    <x v="2"/>
    <x v="3"/>
    <s v="Normal"/>
  </r>
  <r>
    <n v="890"/>
    <d v="2011-02-09T00:00:00"/>
    <n v="1"/>
    <n v="0"/>
    <n v="2"/>
    <x v="13"/>
    <x v="0"/>
    <x v="4"/>
    <n v="1"/>
    <n v="0.18"/>
    <n v="0.16669999999999999"/>
    <n v="0.4"/>
    <n v="0.25369999999999998"/>
    <n v="2"/>
    <n v="67"/>
    <n v="69"/>
    <x v="4"/>
    <x v="0"/>
    <x v="0"/>
    <x v="1"/>
    <x v="2"/>
    <x v="3"/>
    <s v="Normal"/>
  </r>
  <r>
    <n v="891"/>
    <d v="2011-02-09T00:00:00"/>
    <n v="1"/>
    <n v="0"/>
    <n v="2"/>
    <x v="14"/>
    <x v="0"/>
    <x v="4"/>
    <n v="1"/>
    <n v="0.2"/>
    <n v="0.18179999999999999"/>
    <n v="0.34"/>
    <n v="0.29849999999999999"/>
    <n v="2"/>
    <n v="56"/>
    <n v="58"/>
    <x v="4"/>
    <x v="0"/>
    <x v="0"/>
    <x v="1"/>
    <x v="2"/>
    <x v="0"/>
    <s v="Normal"/>
  </r>
  <r>
    <n v="892"/>
    <d v="2011-02-09T00:00:00"/>
    <n v="1"/>
    <n v="0"/>
    <n v="2"/>
    <x v="15"/>
    <x v="0"/>
    <x v="4"/>
    <n v="2"/>
    <n v="0.2"/>
    <n v="0.18179999999999999"/>
    <n v="0.34"/>
    <n v="0.28360000000000002"/>
    <n v="3"/>
    <n v="61"/>
    <n v="64"/>
    <x v="4"/>
    <x v="1"/>
    <x v="0"/>
    <x v="1"/>
    <x v="2"/>
    <x v="0"/>
    <s v="Normal"/>
  </r>
  <r>
    <n v="893"/>
    <d v="2011-02-09T00:00:00"/>
    <n v="1"/>
    <n v="0"/>
    <n v="2"/>
    <x v="16"/>
    <x v="0"/>
    <x v="4"/>
    <n v="2"/>
    <n v="0.2"/>
    <n v="0.19700000000000001"/>
    <n v="0.37"/>
    <n v="0.25369999999999998"/>
    <n v="7"/>
    <n v="72"/>
    <n v="79"/>
    <x v="4"/>
    <x v="1"/>
    <x v="0"/>
    <x v="1"/>
    <x v="2"/>
    <x v="0"/>
    <s v="Normal"/>
  </r>
  <r>
    <n v="894"/>
    <d v="2011-02-09T00:00:00"/>
    <n v="1"/>
    <n v="0"/>
    <n v="2"/>
    <x v="17"/>
    <x v="0"/>
    <x v="4"/>
    <n v="2"/>
    <n v="0.2"/>
    <n v="0.19700000000000001"/>
    <n v="0.34"/>
    <n v="0.25369999999999998"/>
    <n v="9"/>
    <n v="157"/>
    <n v="166"/>
    <x v="4"/>
    <x v="1"/>
    <x v="1"/>
    <x v="2"/>
    <x v="2"/>
    <x v="0"/>
    <s v="⬆ Spike"/>
  </r>
  <r>
    <n v="895"/>
    <d v="2011-02-09T00:00:00"/>
    <n v="1"/>
    <n v="0"/>
    <n v="2"/>
    <x v="18"/>
    <x v="0"/>
    <x v="4"/>
    <n v="2"/>
    <n v="0.18"/>
    <n v="0.16669999999999999"/>
    <n v="0.47"/>
    <n v="0.29849999999999999"/>
    <n v="2"/>
    <n v="168"/>
    <n v="170"/>
    <x v="4"/>
    <x v="1"/>
    <x v="1"/>
    <x v="2"/>
    <x v="3"/>
    <x v="3"/>
    <s v="⬆ Spike"/>
  </r>
  <r>
    <n v="896"/>
    <d v="2011-02-09T00:00:00"/>
    <n v="1"/>
    <n v="0"/>
    <n v="2"/>
    <x v="19"/>
    <x v="0"/>
    <x v="4"/>
    <n v="3"/>
    <n v="0.14000000000000001"/>
    <n v="0.1212"/>
    <n v="0.86"/>
    <n v="0.25369999999999998"/>
    <n v="1"/>
    <n v="87"/>
    <n v="88"/>
    <x v="4"/>
    <x v="2"/>
    <x v="1"/>
    <x v="1"/>
    <x v="3"/>
    <x v="3"/>
    <s v="Normal"/>
  </r>
  <r>
    <n v="897"/>
    <d v="2011-02-09T00:00:00"/>
    <n v="1"/>
    <n v="0"/>
    <n v="2"/>
    <x v="20"/>
    <x v="0"/>
    <x v="4"/>
    <n v="3"/>
    <n v="0.14000000000000001"/>
    <n v="0.1515"/>
    <n v="0.86"/>
    <n v="0.16420000000000001"/>
    <n v="0"/>
    <n v="84"/>
    <n v="84"/>
    <x v="4"/>
    <x v="2"/>
    <x v="0"/>
    <x v="1"/>
    <x v="3"/>
    <x v="3"/>
    <s v="Normal"/>
  </r>
  <r>
    <n v="898"/>
    <d v="2011-02-09T00:00:00"/>
    <n v="1"/>
    <n v="0"/>
    <n v="2"/>
    <x v="21"/>
    <x v="0"/>
    <x v="4"/>
    <n v="2"/>
    <n v="0.14000000000000001"/>
    <n v="0.1515"/>
    <n v="0.86"/>
    <n v="0.16420000000000001"/>
    <n v="0"/>
    <n v="83"/>
    <n v="83"/>
    <x v="4"/>
    <x v="1"/>
    <x v="0"/>
    <x v="1"/>
    <x v="3"/>
    <x v="3"/>
    <s v="Normal"/>
  </r>
  <r>
    <n v="899"/>
    <d v="2011-02-09T00:00:00"/>
    <n v="1"/>
    <n v="0"/>
    <n v="2"/>
    <x v="22"/>
    <x v="0"/>
    <x v="4"/>
    <n v="3"/>
    <n v="0.16"/>
    <n v="0.16669999999999999"/>
    <n v="0.8"/>
    <n v="0.16420000000000001"/>
    <n v="4"/>
    <n v="42"/>
    <n v="46"/>
    <x v="4"/>
    <x v="2"/>
    <x v="0"/>
    <x v="0"/>
    <x v="3"/>
    <x v="3"/>
    <s v="Normal"/>
  </r>
  <r>
    <n v="900"/>
    <d v="2011-02-09T00:00:00"/>
    <n v="1"/>
    <n v="0"/>
    <n v="2"/>
    <x v="23"/>
    <x v="0"/>
    <x v="4"/>
    <n v="3"/>
    <n v="0.16"/>
    <n v="0.1515"/>
    <n v="0.8"/>
    <n v="0.19400000000000001"/>
    <n v="0"/>
    <n v="37"/>
    <n v="37"/>
    <x v="4"/>
    <x v="2"/>
    <x v="0"/>
    <x v="0"/>
    <x v="3"/>
    <x v="3"/>
    <s v="Normal"/>
  </r>
  <r>
    <n v="901"/>
    <d v="2011-02-10T00:00:00"/>
    <n v="1"/>
    <n v="0"/>
    <n v="2"/>
    <x v="0"/>
    <x v="0"/>
    <x v="5"/>
    <n v="3"/>
    <n v="0.14000000000000001"/>
    <n v="0.13639999999999999"/>
    <n v="0.86"/>
    <n v="0.19400000000000001"/>
    <n v="0"/>
    <n v="16"/>
    <n v="16"/>
    <x v="5"/>
    <x v="2"/>
    <x v="0"/>
    <x v="0"/>
    <x v="0"/>
    <x v="3"/>
    <s v="Normal"/>
  </r>
  <r>
    <n v="902"/>
    <d v="2011-02-10T00:00:00"/>
    <n v="1"/>
    <n v="0"/>
    <n v="2"/>
    <x v="1"/>
    <x v="0"/>
    <x v="5"/>
    <n v="3"/>
    <n v="0.14000000000000001"/>
    <n v="0.1515"/>
    <n v="0.8"/>
    <n v="0.1343"/>
    <n v="0"/>
    <n v="7"/>
    <n v="7"/>
    <x v="5"/>
    <x v="2"/>
    <x v="0"/>
    <x v="0"/>
    <x v="0"/>
    <x v="3"/>
    <s v="Normal"/>
  </r>
  <r>
    <n v="903"/>
    <d v="2011-02-10T00:00:00"/>
    <n v="1"/>
    <n v="0"/>
    <n v="2"/>
    <x v="2"/>
    <x v="0"/>
    <x v="5"/>
    <n v="3"/>
    <n v="0.14000000000000001"/>
    <n v="0.1515"/>
    <n v="0.8"/>
    <n v="0.1343"/>
    <n v="0"/>
    <n v="3"/>
    <n v="3"/>
    <x v="5"/>
    <x v="2"/>
    <x v="0"/>
    <x v="0"/>
    <x v="0"/>
    <x v="3"/>
    <s v="Normal"/>
  </r>
  <r>
    <n v="904"/>
    <d v="2011-02-10T00:00:00"/>
    <n v="1"/>
    <n v="0"/>
    <n v="2"/>
    <x v="4"/>
    <x v="0"/>
    <x v="5"/>
    <n v="2"/>
    <n v="0.14000000000000001"/>
    <n v="0.13639999999999999"/>
    <n v="0.59"/>
    <n v="0.22389999999999999"/>
    <n v="0"/>
    <n v="1"/>
    <n v="1"/>
    <x v="5"/>
    <x v="1"/>
    <x v="0"/>
    <x v="0"/>
    <x v="0"/>
    <x v="3"/>
    <s v="Normal"/>
  </r>
  <r>
    <n v="905"/>
    <d v="2011-02-10T00:00:00"/>
    <n v="1"/>
    <n v="0"/>
    <n v="2"/>
    <x v="5"/>
    <x v="0"/>
    <x v="5"/>
    <n v="2"/>
    <n v="0.12"/>
    <n v="0.1212"/>
    <n v="0.5"/>
    <n v="0.22389999999999999"/>
    <n v="0"/>
    <n v="6"/>
    <n v="6"/>
    <x v="5"/>
    <x v="1"/>
    <x v="0"/>
    <x v="0"/>
    <x v="0"/>
    <x v="3"/>
    <s v="Normal"/>
  </r>
  <r>
    <n v="906"/>
    <d v="2011-02-10T00:00:00"/>
    <n v="1"/>
    <n v="0"/>
    <n v="2"/>
    <x v="6"/>
    <x v="0"/>
    <x v="5"/>
    <n v="2"/>
    <n v="0.12"/>
    <n v="0.1212"/>
    <n v="0.54"/>
    <n v="0.28360000000000002"/>
    <n v="0"/>
    <n v="26"/>
    <n v="26"/>
    <x v="5"/>
    <x v="1"/>
    <x v="0"/>
    <x v="0"/>
    <x v="1"/>
    <x v="3"/>
    <s v="Normal"/>
  </r>
  <r>
    <n v="907"/>
    <d v="2011-02-10T00:00:00"/>
    <n v="1"/>
    <n v="0"/>
    <n v="2"/>
    <x v="7"/>
    <x v="0"/>
    <x v="5"/>
    <n v="1"/>
    <n v="0.1"/>
    <n v="7.5800000000000006E-2"/>
    <n v="0.5"/>
    <n v="0.41789999999999999"/>
    <n v="0"/>
    <n v="99"/>
    <n v="99"/>
    <x v="5"/>
    <x v="0"/>
    <x v="1"/>
    <x v="1"/>
    <x v="1"/>
    <x v="3"/>
    <s v="Normal"/>
  </r>
  <r>
    <n v="908"/>
    <d v="2011-02-10T00:00:00"/>
    <n v="1"/>
    <n v="0"/>
    <n v="2"/>
    <x v="8"/>
    <x v="0"/>
    <x v="5"/>
    <n v="1"/>
    <n v="0.1"/>
    <n v="7.5800000000000006E-2"/>
    <n v="0.49"/>
    <n v="0.32840000000000003"/>
    <n v="5"/>
    <n v="173"/>
    <n v="178"/>
    <x v="5"/>
    <x v="0"/>
    <x v="1"/>
    <x v="2"/>
    <x v="1"/>
    <x v="3"/>
    <s v="⬆ Spike"/>
  </r>
  <r>
    <n v="909"/>
    <d v="2011-02-10T00:00:00"/>
    <n v="1"/>
    <n v="0"/>
    <n v="2"/>
    <x v="9"/>
    <x v="0"/>
    <x v="5"/>
    <n v="1"/>
    <n v="0.12"/>
    <n v="0.1061"/>
    <n v="0.42"/>
    <n v="0.35820000000000002"/>
    <n v="1"/>
    <n v="121"/>
    <n v="122"/>
    <x v="5"/>
    <x v="0"/>
    <x v="1"/>
    <x v="1"/>
    <x v="1"/>
    <x v="3"/>
    <s v="Normal"/>
  </r>
  <r>
    <n v="910"/>
    <d v="2011-02-10T00:00:00"/>
    <n v="1"/>
    <n v="0"/>
    <n v="2"/>
    <x v="10"/>
    <x v="0"/>
    <x v="5"/>
    <n v="1"/>
    <n v="0.12"/>
    <n v="0.1061"/>
    <n v="0.42"/>
    <n v="0.29849999999999999"/>
    <n v="1"/>
    <n v="34"/>
    <n v="35"/>
    <x v="5"/>
    <x v="0"/>
    <x v="0"/>
    <x v="0"/>
    <x v="1"/>
    <x v="3"/>
    <s v="Normal"/>
  </r>
  <r>
    <n v="911"/>
    <d v="2011-02-10T00:00:00"/>
    <n v="1"/>
    <n v="0"/>
    <n v="2"/>
    <x v="11"/>
    <x v="0"/>
    <x v="5"/>
    <n v="1"/>
    <n v="0.14000000000000001"/>
    <n v="0.1212"/>
    <n v="0.39"/>
    <n v="0.35820000000000002"/>
    <n v="1"/>
    <n v="44"/>
    <n v="45"/>
    <x v="5"/>
    <x v="0"/>
    <x v="0"/>
    <x v="0"/>
    <x v="1"/>
    <x v="3"/>
    <s v="Normal"/>
  </r>
  <r>
    <n v="912"/>
    <d v="2011-02-10T00:00:00"/>
    <n v="1"/>
    <n v="0"/>
    <n v="2"/>
    <x v="12"/>
    <x v="0"/>
    <x v="5"/>
    <n v="1"/>
    <n v="0.16"/>
    <n v="0.13639999999999999"/>
    <n v="0.34"/>
    <n v="0.3881"/>
    <n v="4"/>
    <n v="65"/>
    <n v="69"/>
    <x v="5"/>
    <x v="0"/>
    <x v="0"/>
    <x v="1"/>
    <x v="2"/>
    <x v="3"/>
    <s v="Normal"/>
  </r>
  <r>
    <n v="913"/>
    <d v="2011-02-10T00:00:00"/>
    <n v="1"/>
    <n v="0"/>
    <n v="2"/>
    <x v="13"/>
    <x v="0"/>
    <x v="5"/>
    <n v="1"/>
    <n v="0.18"/>
    <n v="0.16669999999999999"/>
    <n v="0.28999999999999998"/>
    <n v="0.29849999999999999"/>
    <n v="3"/>
    <n v="59"/>
    <n v="62"/>
    <x v="5"/>
    <x v="0"/>
    <x v="0"/>
    <x v="1"/>
    <x v="2"/>
    <x v="3"/>
    <s v="Normal"/>
  </r>
  <r>
    <n v="914"/>
    <d v="2011-02-10T00:00:00"/>
    <n v="1"/>
    <n v="0"/>
    <n v="2"/>
    <x v="14"/>
    <x v="0"/>
    <x v="5"/>
    <n v="1"/>
    <n v="0.2"/>
    <n v="0.18179999999999999"/>
    <n v="0.27"/>
    <n v="0.28360000000000002"/>
    <n v="6"/>
    <n v="42"/>
    <n v="48"/>
    <x v="5"/>
    <x v="0"/>
    <x v="0"/>
    <x v="0"/>
    <x v="2"/>
    <x v="0"/>
    <s v="Normal"/>
  </r>
  <r>
    <n v="915"/>
    <d v="2011-02-10T00:00:00"/>
    <n v="1"/>
    <n v="0"/>
    <n v="2"/>
    <x v="15"/>
    <x v="0"/>
    <x v="5"/>
    <n v="1"/>
    <n v="0.2"/>
    <n v="0.19700000000000001"/>
    <n v="0.25"/>
    <n v="0.25369999999999998"/>
    <n v="0"/>
    <n v="50"/>
    <n v="50"/>
    <x v="5"/>
    <x v="0"/>
    <x v="0"/>
    <x v="0"/>
    <x v="2"/>
    <x v="0"/>
    <s v="Normal"/>
  </r>
  <r>
    <n v="916"/>
    <d v="2011-02-10T00:00:00"/>
    <n v="1"/>
    <n v="0"/>
    <n v="2"/>
    <x v="16"/>
    <x v="0"/>
    <x v="5"/>
    <n v="1"/>
    <n v="0.2"/>
    <n v="0.18179999999999999"/>
    <n v="0.27"/>
    <n v="0.29849999999999999"/>
    <n v="4"/>
    <n v="76"/>
    <n v="80"/>
    <x v="5"/>
    <x v="0"/>
    <x v="0"/>
    <x v="1"/>
    <x v="2"/>
    <x v="0"/>
    <s v="Normal"/>
  </r>
  <r>
    <n v="917"/>
    <d v="2011-02-10T00:00:00"/>
    <n v="1"/>
    <n v="0"/>
    <n v="2"/>
    <x v="17"/>
    <x v="0"/>
    <x v="5"/>
    <n v="1"/>
    <n v="0.18"/>
    <n v="0.18179999999999999"/>
    <n v="0.26"/>
    <n v="0.19400000000000001"/>
    <n v="6"/>
    <n v="159"/>
    <n v="165"/>
    <x v="5"/>
    <x v="0"/>
    <x v="1"/>
    <x v="2"/>
    <x v="2"/>
    <x v="3"/>
    <s v="⬆ Spike"/>
  </r>
  <r>
    <n v="918"/>
    <d v="2011-02-10T00:00:00"/>
    <n v="1"/>
    <n v="0"/>
    <n v="2"/>
    <x v="18"/>
    <x v="0"/>
    <x v="5"/>
    <n v="1"/>
    <n v="0.16"/>
    <n v="0.18179999999999999"/>
    <n v="0.28000000000000003"/>
    <n v="0.1343"/>
    <n v="3"/>
    <n v="157"/>
    <n v="160"/>
    <x v="5"/>
    <x v="0"/>
    <x v="1"/>
    <x v="2"/>
    <x v="3"/>
    <x v="3"/>
    <s v="Normal"/>
  </r>
  <r>
    <n v="919"/>
    <d v="2011-02-10T00:00:00"/>
    <n v="1"/>
    <n v="0"/>
    <n v="2"/>
    <x v="19"/>
    <x v="0"/>
    <x v="5"/>
    <n v="1"/>
    <n v="0.14000000000000001"/>
    <n v="0.16669999999999999"/>
    <n v="0.28000000000000003"/>
    <n v="0.1045"/>
    <n v="2"/>
    <n v="110"/>
    <n v="112"/>
    <x v="5"/>
    <x v="0"/>
    <x v="1"/>
    <x v="1"/>
    <x v="3"/>
    <x v="3"/>
    <s v="Normal"/>
  </r>
  <r>
    <n v="920"/>
    <d v="2011-02-10T00:00:00"/>
    <n v="1"/>
    <n v="0"/>
    <n v="2"/>
    <x v="20"/>
    <x v="0"/>
    <x v="5"/>
    <n v="1"/>
    <n v="0.14000000000000001"/>
    <n v="0.18179999999999999"/>
    <n v="0.31"/>
    <n v="8.9599999999999999E-2"/>
    <n v="4"/>
    <n v="93"/>
    <n v="97"/>
    <x v="5"/>
    <x v="0"/>
    <x v="0"/>
    <x v="1"/>
    <x v="3"/>
    <x v="3"/>
    <s v="Normal"/>
  </r>
  <r>
    <n v="921"/>
    <d v="2011-02-10T00:00:00"/>
    <n v="1"/>
    <n v="0"/>
    <n v="2"/>
    <x v="21"/>
    <x v="0"/>
    <x v="5"/>
    <n v="1"/>
    <n v="0.14000000000000001"/>
    <n v="0.21210000000000001"/>
    <n v="0.39"/>
    <n v="0"/>
    <n v="2"/>
    <n v="70"/>
    <n v="72"/>
    <x v="5"/>
    <x v="0"/>
    <x v="0"/>
    <x v="1"/>
    <x v="3"/>
    <x v="3"/>
    <s v="Normal"/>
  </r>
  <r>
    <n v="922"/>
    <d v="2011-02-10T00:00:00"/>
    <n v="1"/>
    <n v="0"/>
    <n v="2"/>
    <x v="22"/>
    <x v="0"/>
    <x v="5"/>
    <n v="1"/>
    <n v="0.12"/>
    <n v="0.19700000000000001"/>
    <n v="0.39"/>
    <n v="0"/>
    <n v="4"/>
    <n v="47"/>
    <n v="51"/>
    <x v="5"/>
    <x v="0"/>
    <x v="0"/>
    <x v="1"/>
    <x v="3"/>
    <x v="3"/>
    <s v="Normal"/>
  </r>
  <r>
    <n v="923"/>
    <d v="2011-02-10T00:00:00"/>
    <n v="1"/>
    <n v="0"/>
    <n v="2"/>
    <x v="23"/>
    <x v="0"/>
    <x v="5"/>
    <n v="1"/>
    <n v="0.12"/>
    <n v="0.1515"/>
    <n v="0.42"/>
    <n v="0.1045"/>
    <n v="1"/>
    <n v="33"/>
    <n v="34"/>
    <x v="5"/>
    <x v="0"/>
    <x v="0"/>
    <x v="0"/>
    <x v="3"/>
    <x v="3"/>
    <s v="Normal"/>
  </r>
  <r>
    <n v="924"/>
    <d v="2011-02-11T00:00:00"/>
    <n v="1"/>
    <n v="0"/>
    <n v="2"/>
    <x v="0"/>
    <x v="0"/>
    <x v="6"/>
    <n v="1"/>
    <n v="0.1"/>
    <n v="0.13639999999999999"/>
    <n v="0.49"/>
    <n v="0.1045"/>
    <n v="2"/>
    <n v="12"/>
    <n v="14"/>
    <x v="6"/>
    <x v="0"/>
    <x v="0"/>
    <x v="0"/>
    <x v="0"/>
    <x v="3"/>
    <s v="Normal"/>
  </r>
  <r>
    <n v="925"/>
    <d v="2011-02-11T00:00:00"/>
    <n v="1"/>
    <n v="0"/>
    <n v="2"/>
    <x v="1"/>
    <x v="0"/>
    <x v="6"/>
    <n v="1"/>
    <n v="0.1"/>
    <n v="0.13639999999999999"/>
    <n v="0.54"/>
    <n v="8.9599999999999999E-2"/>
    <n v="1"/>
    <n v="6"/>
    <n v="7"/>
    <x v="6"/>
    <x v="0"/>
    <x v="0"/>
    <x v="0"/>
    <x v="0"/>
    <x v="3"/>
    <s v="Normal"/>
  </r>
  <r>
    <n v="926"/>
    <d v="2011-02-11T00:00:00"/>
    <n v="1"/>
    <n v="0"/>
    <n v="2"/>
    <x v="2"/>
    <x v="0"/>
    <x v="6"/>
    <n v="1"/>
    <n v="0.1"/>
    <n v="0.13639999999999999"/>
    <n v="0.54"/>
    <n v="8.9599999999999999E-2"/>
    <n v="0"/>
    <n v="3"/>
    <n v="3"/>
    <x v="6"/>
    <x v="0"/>
    <x v="0"/>
    <x v="0"/>
    <x v="0"/>
    <x v="3"/>
    <s v="Normal"/>
  </r>
  <r>
    <n v="927"/>
    <d v="2011-02-11T00:00:00"/>
    <n v="1"/>
    <n v="0"/>
    <n v="2"/>
    <x v="5"/>
    <x v="0"/>
    <x v="6"/>
    <n v="1"/>
    <n v="0.08"/>
    <n v="0.1212"/>
    <n v="0.63"/>
    <n v="8.9599999999999999E-2"/>
    <n v="0"/>
    <n v="4"/>
    <n v="4"/>
    <x v="6"/>
    <x v="0"/>
    <x v="0"/>
    <x v="0"/>
    <x v="0"/>
    <x v="4"/>
    <s v="Normal"/>
  </r>
  <r>
    <n v="928"/>
    <d v="2011-02-11T00:00:00"/>
    <n v="1"/>
    <n v="0"/>
    <n v="2"/>
    <x v="6"/>
    <x v="0"/>
    <x v="6"/>
    <n v="1"/>
    <n v="0.1"/>
    <n v="0.18179999999999999"/>
    <n v="0.68"/>
    <n v="0"/>
    <n v="1"/>
    <n v="23"/>
    <n v="24"/>
    <x v="6"/>
    <x v="0"/>
    <x v="0"/>
    <x v="0"/>
    <x v="1"/>
    <x v="3"/>
    <s v="Normal"/>
  </r>
  <r>
    <n v="929"/>
    <d v="2011-02-11T00:00:00"/>
    <n v="1"/>
    <n v="0"/>
    <n v="2"/>
    <x v="7"/>
    <x v="0"/>
    <x v="6"/>
    <n v="1"/>
    <n v="0.08"/>
    <n v="0.16669999999999999"/>
    <n v="0.73"/>
    <n v="0"/>
    <n v="1"/>
    <n v="73"/>
    <n v="74"/>
    <x v="6"/>
    <x v="0"/>
    <x v="1"/>
    <x v="1"/>
    <x v="1"/>
    <x v="4"/>
    <s v="Normal"/>
  </r>
  <r>
    <n v="930"/>
    <d v="2011-02-11T00:00:00"/>
    <n v="1"/>
    <n v="0"/>
    <n v="2"/>
    <x v="8"/>
    <x v="0"/>
    <x v="6"/>
    <n v="1"/>
    <n v="0.1"/>
    <n v="0.1212"/>
    <n v="0.74"/>
    <n v="0.16420000000000001"/>
    <n v="4"/>
    <n v="212"/>
    <n v="216"/>
    <x v="6"/>
    <x v="0"/>
    <x v="1"/>
    <x v="2"/>
    <x v="1"/>
    <x v="3"/>
    <s v="⬆ Spike"/>
  </r>
  <r>
    <n v="931"/>
    <d v="2011-02-11T00:00:00"/>
    <n v="1"/>
    <n v="0"/>
    <n v="2"/>
    <x v="9"/>
    <x v="0"/>
    <x v="6"/>
    <n v="1"/>
    <n v="0.12"/>
    <n v="0.1212"/>
    <n v="0.74"/>
    <n v="0.22389999999999999"/>
    <n v="8"/>
    <n v="132"/>
    <n v="140"/>
    <x v="6"/>
    <x v="0"/>
    <x v="1"/>
    <x v="1"/>
    <x v="1"/>
    <x v="3"/>
    <s v="Normal"/>
  </r>
  <r>
    <n v="932"/>
    <d v="2011-02-11T00:00:00"/>
    <n v="1"/>
    <n v="0"/>
    <n v="2"/>
    <x v="10"/>
    <x v="0"/>
    <x v="6"/>
    <n v="1"/>
    <n v="0.14000000000000001"/>
    <n v="0.13639999999999999"/>
    <n v="0.69"/>
    <n v="0.19400000000000001"/>
    <n v="5"/>
    <n v="39"/>
    <n v="44"/>
    <x v="6"/>
    <x v="0"/>
    <x v="0"/>
    <x v="0"/>
    <x v="1"/>
    <x v="3"/>
    <s v="Normal"/>
  </r>
  <r>
    <n v="933"/>
    <d v="2011-02-11T00:00:00"/>
    <n v="1"/>
    <n v="0"/>
    <n v="2"/>
    <x v="11"/>
    <x v="0"/>
    <x v="6"/>
    <n v="1"/>
    <n v="0.22"/>
    <n v="0.2273"/>
    <n v="0.47"/>
    <n v="0.1343"/>
    <n v="12"/>
    <n v="52"/>
    <n v="64"/>
    <x v="6"/>
    <x v="0"/>
    <x v="0"/>
    <x v="1"/>
    <x v="1"/>
    <x v="0"/>
    <s v="Normal"/>
  </r>
  <r>
    <n v="934"/>
    <d v="2011-02-11T00:00:00"/>
    <n v="1"/>
    <n v="0"/>
    <n v="2"/>
    <x v="12"/>
    <x v="0"/>
    <x v="6"/>
    <n v="1"/>
    <n v="0.22"/>
    <n v="0.2273"/>
    <n v="0.47"/>
    <n v="0.1343"/>
    <n v="7"/>
    <n v="64"/>
    <n v="71"/>
    <x v="6"/>
    <x v="0"/>
    <x v="0"/>
    <x v="1"/>
    <x v="2"/>
    <x v="0"/>
    <s v="Normal"/>
  </r>
  <r>
    <n v="935"/>
    <d v="2011-02-11T00:00:00"/>
    <n v="1"/>
    <n v="0"/>
    <n v="2"/>
    <x v="13"/>
    <x v="0"/>
    <x v="6"/>
    <n v="1"/>
    <n v="0.24"/>
    <n v="0.2273"/>
    <n v="0.35"/>
    <n v="0.19400000000000001"/>
    <n v="21"/>
    <n v="89"/>
    <n v="110"/>
    <x v="6"/>
    <x v="0"/>
    <x v="0"/>
    <x v="1"/>
    <x v="2"/>
    <x v="0"/>
    <s v="Normal"/>
  </r>
  <r>
    <n v="936"/>
    <d v="2011-02-11T00:00:00"/>
    <n v="1"/>
    <n v="0"/>
    <n v="2"/>
    <x v="14"/>
    <x v="0"/>
    <x v="6"/>
    <n v="1"/>
    <n v="0.3"/>
    <n v="0.28789999999999999"/>
    <n v="0.26"/>
    <n v="0.25369999999999998"/>
    <n v="17"/>
    <n v="67"/>
    <n v="84"/>
    <x v="6"/>
    <x v="0"/>
    <x v="0"/>
    <x v="1"/>
    <x v="2"/>
    <x v="1"/>
    <s v="Normal"/>
  </r>
  <r>
    <n v="937"/>
    <d v="2011-02-11T00:00:00"/>
    <n v="1"/>
    <n v="0"/>
    <n v="2"/>
    <x v="15"/>
    <x v="0"/>
    <x v="6"/>
    <n v="1"/>
    <n v="0.32"/>
    <n v="0.31819999999999998"/>
    <n v="0.21"/>
    <n v="0.16420000000000001"/>
    <n v="12"/>
    <n v="62"/>
    <n v="74"/>
    <x v="6"/>
    <x v="0"/>
    <x v="0"/>
    <x v="1"/>
    <x v="2"/>
    <x v="1"/>
    <s v="Normal"/>
  </r>
  <r>
    <n v="938"/>
    <d v="2011-02-11T00:00:00"/>
    <n v="1"/>
    <n v="0"/>
    <n v="2"/>
    <x v="16"/>
    <x v="0"/>
    <x v="6"/>
    <n v="1"/>
    <n v="0.3"/>
    <n v="0.28789999999999999"/>
    <n v="0.28000000000000003"/>
    <n v="0.19400000000000001"/>
    <n v="14"/>
    <n v="111"/>
    <n v="125"/>
    <x v="6"/>
    <x v="0"/>
    <x v="0"/>
    <x v="1"/>
    <x v="2"/>
    <x v="1"/>
    <s v="Normal"/>
  </r>
  <r>
    <n v="939"/>
    <d v="2011-02-11T00:00:00"/>
    <n v="1"/>
    <n v="0"/>
    <n v="2"/>
    <x v="17"/>
    <x v="0"/>
    <x v="6"/>
    <n v="1"/>
    <n v="0.3"/>
    <n v="0.33329999999999999"/>
    <n v="0.24"/>
    <n v="0"/>
    <n v="18"/>
    <n v="193"/>
    <n v="211"/>
    <x v="6"/>
    <x v="0"/>
    <x v="1"/>
    <x v="2"/>
    <x v="2"/>
    <x v="1"/>
    <s v="⬆ Spike"/>
  </r>
  <r>
    <n v="940"/>
    <d v="2011-02-11T00:00:00"/>
    <n v="1"/>
    <n v="0"/>
    <n v="2"/>
    <x v="18"/>
    <x v="0"/>
    <x v="6"/>
    <n v="1"/>
    <n v="0.28000000000000003"/>
    <n v="0.31819999999999998"/>
    <n v="0.28000000000000003"/>
    <n v="0"/>
    <n v="9"/>
    <n v="165"/>
    <n v="174"/>
    <x v="6"/>
    <x v="0"/>
    <x v="1"/>
    <x v="2"/>
    <x v="3"/>
    <x v="0"/>
    <s v="⬆ Spike"/>
  </r>
  <r>
    <n v="941"/>
    <d v="2011-02-11T00:00:00"/>
    <n v="1"/>
    <n v="0"/>
    <n v="2"/>
    <x v="19"/>
    <x v="0"/>
    <x v="6"/>
    <n v="1"/>
    <n v="0.26"/>
    <n v="0.30299999999999999"/>
    <n v="0.33"/>
    <n v="0"/>
    <n v="7"/>
    <n v="94"/>
    <n v="101"/>
    <x v="6"/>
    <x v="0"/>
    <x v="1"/>
    <x v="1"/>
    <x v="3"/>
    <x v="0"/>
    <s v="Normal"/>
  </r>
  <r>
    <n v="942"/>
    <d v="2011-02-11T00:00:00"/>
    <n v="1"/>
    <n v="0"/>
    <n v="2"/>
    <x v="20"/>
    <x v="0"/>
    <x v="6"/>
    <n v="1"/>
    <n v="0.22"/>
    <n v="0.2273"/>
    <n v="0.55000000000000004"/>
    <n v="0.1343"/>
    <n v="2"/>
    <n v="61"/>
    <n v="63"/>
    <x v="6"/>
    <x v="0"/>
    <x v="0"/>
    <x v="1"/>
    <x v="3"/>
    <x v="0"/>
    <s v="Normal"/>
  </r>
  <r>
    <n v="943"/>
    <d v="2011-02-11T00:00:00"/>
    <n v="1"/>
    <n v="0"/>
    <n v="2"/>
    <x v="21"/>
    <x v="0"/>
    <x v="6"/>
    <n v="1"/>
    <n v="0.2"/>
    <n v="0.21210000000000001"/>
    <n v="0.59"/>
    <n v="0.1343"/>
    <n v="1"/>
    <n v="46"/>
    <n v="47"/>
    <x v="6"/>
    <x v="0"/>
    <x v="0"/>
    <x v="0"/>
    <x v="3"/>
    <x v="0"/>
    <s v="Normal"/>
  </r>
  <r>
    <n v="944"/>
    <d v="2011-02-11T00:00:00"/>
    <n v="1"/>
    <n v="0"/>
    <n v="2"/>
    <x v="22"/>
    <x v="0"/>
    <x v="6"/>
    <n v="1"/>
    <n v="0.2"/>
    <n v="0.2273"/>
    <n v="0.64"/>
    <n v="8.9599999999999999E-2"/>
    <n v="2"/>
    <n v="41"/>
    <n v="43"/>
    <x v="6"/>
    <x v="0"/>
    <x v="0"/>
    <x v="0"/>
    <x v="3"/>
    <x v="0"/>
    <s v="Normal"/>
  </r>
  <r>
    <n v="945"/>
    <d v="2011-02-11T00:00:00"/>
    <n v="1"/>
    <n v="0"/>
    <n v="2"/>
    <x v="23"/>
    <x v="0"/>
    <x v="6"/>
    <n v="1"/>
    <n v="0.18"/>
    <n v="0.2424"/>
    <n v="0.69"/>
    <n v="0"/>
    <n v="5"/>
    <n v="48"/>
    <n v="53"/>
    <x v="6"/>
    <x v="0"/>
    <x v="0"/>
    <x v="1"/>
    <x v="3"/>
    <x v="3"/>
    <s v="Normal"/>
  </r>
  <r>
    <n v="946"/>
    <d v="2011-02-12T00:00:00"/>
    <n v="1"/>
    <n v="0"/>
    <n v="2"/>
    <x v="0"/>
    <x v="0"/>
    <x v="0"/>
    <n v="1"/>
    <n v="0.16"/>
    <n v="0.19700000000000001"/>
    <n v="0.69"/>
    <n v="8.9599999999999999E-2"/>
    <n v="3"/>
    <n v="27"/>
    <n v="30"/>
    <x v="0"/>
    <x v="0"/>
    <x v="0"/>
    <x v="0"/>
    <x v="0"/>
    <x v="3"/>
    <s v="Normal"/>
  </r>
  <r>
    <n v="947"/>
    <d v="2011-02-12T00:00:00"/>
    <n v="1"/>
    <n v="0"/>
    <n v="2"/>
    <x v="1"/>
    <x v="0"/>
    <x v="0"/>
    <n v="1"/>
    <n v="0.14000000000000001"/>
    <n v="0.21210000000000001"/>
    <n v="0.86"/>
    <n v="0"/>
    <n v="2"/>
    <n v="22"/>
    <n v="24"/>
    <x v="0"/>
    <x v="0"/>
    <x v="0"/>
    <x v="0"/>
    <x v="0"/>
    <x v="3"/>
    <s v="Normal"/>
  </r>
  <r>
    <n v="948"/>
    <d v="2011-02-12T00:00:00"/>
    <n v="1"/>
    <n v="0"/>
    <n v="2"/>
    <x v="2"/>
    <x v="0"/>
    <x v="0"/>
    <n v="1"/>
    <n v="0.14000000000000001"/>
    <n v="0.21210000000000001"/>
    <n v="0.8"/>
    <n v="0"/>
    <n v="2"/>
    <n v="13"/>
    <n v="15"/>
    <x v="0"/>
    <x v="0"/>
    <x v="0"/>
    <x v="0"/>
    <x v="0"/>
    <x v="3"/>
    <s v="Normal"/>
  </r>
  <r>
    <n v="949"/>
    <d v="2011-02-12T00:00:00"/>
    <n v="1"/>
    <n v="0"/>
    <n v="2"/>
    <x v="3"/>
    <x v="0"/>
    <x v="0"/>
    <n v="1"/>
    <n v="0.12"/>
    <n v="0.19700000000000001"/>
    <n v="0.8"/>
    <n v="0"/>
    <n v="3"/>
    <n v="7"/>
    <n v="10"/>
    <x v="0"/>
    <x v="0"/>
    <x v="0"/>
    <x v="0"/>
    <x v="0"/>
    <x v="3"/>
    <s v="Normal"/>
  </r>
  <r>
    <n v="950"/>
    <d v="2011-02-12T00:00:00"/>
    <n v="1"/>
    <n v="0"/>
    <n v="2"/>
    <x v="4"/>
    <x v="0"/>
    <x v="0"/>
    <n v="1"/>
    <n v="0.12"/>
    <n v="0.16669999999999999"/>
    <n v="0.74"/>
    <n v="8.9599999999999999E-2"/>
    <n v="0"/>
    <n v="4"/>
    <n v="4"/>
    <x v="0"/>
    <x v="0"/>
    <x v="0"/>
    <x v="0"/>
    <x v="0"/>
    <x v="3"/>
    <s v="Normal"/>
  </r>
  <r>
    <n v="951"/>
    <d v="2011-02-12T00:00:00"/>
    <n v="1"/>
    <n v="0"/>
    <n v="2"/>
    <x v="5"/>
    <x v="0"/>
    <x v="0"/>
    <n v="1"/>
    <n v="0.12"/>
    <n v="0.16669999999999999"/>
    <n v="0.74"/>
    <n v="8.9599999999999999E-2"/>
    <n v="0"/>
    <n v="1"/>
    <n v="1"/>
    <x v="0"/>
    <x v="0"/>
    <x v="0"/>
    <x v="0"/>
    <x v="0"/>
    <x v="3"/>
    <s v="Normal"/>
  </r>
  <r>
    <n v="952"/>
    <d v="2011-02-12T00:00:00"/>
    <n v="1"/>
    <n v="0"/>
    <n v="2"/>
    <x v="6"/>
    <x v="0"/>
    <x v="0"/>
    <n v="1"/>
    <n v="0.12"/>
    <n v="0.13639999999999999"/>
    <n v="0.93"/>
    <n v="0.19400000000000001"/>
    <n v="1"/>
    <n v="1"/>
    <n v="2"/>
    <x v="0"/>
    <x v="0"/>
    <x v="0"/>
    <x v="0"/>
    <x v="1"/>
    <x v="3"/>
    <s v="Normal"/>
  </r>
  <r>
    <n v="953"/>
    <d v="2011-02-12T00:00:00"/>
    <n v="1"/>
    <n v="0"/>
    <n v="2"/>
    <x v="7"/>
    <x v="0"/>
    <x v="0"/>
    <n v="1"/>
    <n v="0.12"/>
    <n v="0.1515"/>
    <n v="0.8"/>
    <n v="0.1045"/>
    <n v="2"/>
    <n v="9"/>
    <n v="11"/>
    <x v="0"/>
    <x v="0"/>
    <x v="1"/>
    <x v="0"/>
    <x v="1"/>
    <x v="3"/>
    <s v="Normal"/>
  </r>
  <r>
    <n v="954"/>
    <d v="2011-02-12T00:00:00"/>
    <n v="1"/>
    <n v="0"/>
    <n v="2"/>
    <x v="8"/>
    <x v="0"/>
    <x v="0"/>
    <n v="1"/>
    <n v="0.14000000000000001"/>
    <n v="0.1515"/>
    <n v="0.86"/>
    <n v="0.1343"/>
    <n v="2"/>
    <n v="28"/>
    <n v="30"/>
    <x v="0"/>
    <x v="0"/>
    <x v="1"/>
    <x v="0"/>
    <x v="1"/>
    <x v="3"/>
    <s v="Normal"/>
  </r>
  <r>
    <n v="955"/>
    <d v="2011-02-12T00:00:00"/>
    <n v="1"/>
    <n v="0"/>
    <n v="2"/>
    <x v="9"/>
    <x v="0"/>
    <x v="0"/>
    <n v="1"/>
    <n v="0.16"/>
    <n v="0.18179999999999999"/>
    <n v="0.64"/>
    <n v="0.1343"/>
    <n v="5"/>
    <n v="38"/>
    <n v="43"/>
    <x v="0"/>
    <x v="0"/>
    <x v="1"/>
    <x v="0"/>
    <x v="1"/>
    <x v="3"/>
    <s v="Normal"/>
  </r>
  <r>
    <n v="956"/>
    <d v="2011-02-12T00:00:00"/>
    <n v="1"/>
    <n v="0"/>
    <n v="2"/>
    <x v="10"/>
    <x v="0"/>
    <x v="0"/>
    <n v="1"/>
    <n v="0.22"/>
    <n v="0.21210000000000001"/>
    <n v="0.41"/>
    <n v="0.25369999999999998"/>
    <n v="13"/>
    <n v="71"/>
    <n v="84"/>
    <x v="0"/>
    <x v="0"/>
    <x v="0"/>
    <x v="1"/>
    <x v="1"/>
    <x v="0"/>
    <s v="Normal"/>
  </r>
  <r>
    <n v="957"/>
    <d v="2011-02-12T00:00:00"/>
    <n v="1"/>
    <n v="0"/>
    <n v="2"/>
    <x v="11"/>
    <x v="0"/>
    <x v="0"/>
    <n v="1"/>
    <n v="0.3"/>
    <n v="0.2727"/>
    <n v="0.28000000000000003"/>
    <n v="0.32840000000000003"/>
    <n v="30"/>
    <n v="84"/>
    <n v="114"/>
    <x v="0"/>
    <x v="0"/>
    <x v="0"/>
    <x v="1"/>
    <x v="1"/>
    <x v="1"/>
    <s v="Normal"/>
  </r>
  <r>
    <n v="958"/>
    <d v="2011-02-12T00:00:00"/>
    <n v="1"/>
    <n v="0"/>
    <n v="2"/>
    <x v="12"/>
    <x v="0"/>
    <x v="0"/>
    <n v="1"/>
    <n v="0.3"/>
    <n v="0.2727"/>
    <n v="0.39"/>
    <n v="0.4627"/>
    <n v="27"/>
    <n v="93"/>
    <n v="120"/>
    <x v="0"/>
    <x v="0"/>
    <x v="0"/>
    <x v="1"/>
    <x v="2"/>
    <x v="1"/>
    <s v="Normal"/>
  </r>
  <r>
    <n v="959"/>
    <d v="2011-02-12T00:00:00"/>
    <n v="1"/>
    <n v="0"/>
    <n v="2"/>
    <x v="13"/>
    <x v="0"/>
    <x v="0"/>
    <n v="1"/>
    <n v="0.3"/>
    <n v="0.2727"/>
    <n v="0.39"/>
    <n v="0.41789999999999999"/>
    <n v="32"/>
    <n v="103"/>
    <n v="135"/>
    <x v="0"/>
    <x v="0"/>
    <x v="0"/>
    <x v="1"/>
    <x v="2"/>
    <x v="1"/>
    <s v="Normal"/>
  </r>
  <r>
    <n v="960"/>
    <d v="2011-02-12T00:00:00"/>
    <n v="1"/>
    <n v="0"/>
    <n v="2"/>
    <x v="14"/>
    <x v="0"/>
    <x v="0"/>
    <n v="1"/>
    <n v="0.34"/>
    <n v="0.31819999999999998"/>
    <n v="0.31"/>
    <n v="0.28360000000000002"/>
    <n v="30"/>
    <n v="90"/>
    <n v="120"/>
    <x v="0"/>
    <x v="0"/>
    <x v="0"/>
    <x v="1"/>
    <x v="2"/>
    <x v="1"/>
    <s v="Normal"/>
  </r>
  <r>
    <n v="961"/>
    <d v="2011-02-12T00:00:00"/>
    <n v="1"/>
    <n v="0"/>
    <n v="2"/>
    <x v="15"/>
    <x v="0"/>
    <x v="0"/>
    <n v="1"/>
    <n v="0.34"/>
    <n v="0.30299999999999999"/>
    <n v="0.28999999999999998"/>
    <n v="0.41789999999999999"/>
    <n v="47"/>
    <n v="127"/>
    <n v="174"/>
    <x v="0"/>
    <x v="0"/>
    <x v="0"/>
    <x v="2"/>
    <x v="2"/>
    <x v="1"/>
    <s v="⬆ Spike"/>
  </r>
  <r>
    <n v="962"/>
    <d v="2011-02-12T00:00:00"/>
    <n v="1"/>
    <n v="0"/>
    <n v="2"/>
    <x v="16"/>
    <x v="0"/>
    <x v="0"/>
    <n v="1"/>
    <n v="0.34"/>
    <n v="0.30299999999999999"/>
    <n v="0.28999999999999998"/>
    <n v="0.41789999999999999"/>
    <n v="42"/>
    <n v="103"/>
    <n v="145"/>
    <x v="0"/>
    <x v="0"/>
    <x v="0"/>
    <x v="1"/>
    <x v="2"/>
    <x v="1"/>
    <s v="Normal"/>
  </r>
  <r>
    <n v="963"/>
    <d v="2011-02-12T00:00:00"/>
    <n v="1"/>
    <n v="0"/>
    <n v="2"/>
    <x v="17"/>
    <x v="0"/>
    <x v="0"/>
    <n v="1"/>
    <n v="0.32"/>
    <n v="0.28789999999999999"/>
    <n v="0.31"/>
    <n v="0.52239999999999998"/>
    <n v="24"/>
    <n v="113"/>
    <n v="137"/>
    <x v="0"/>
    <x v="0"/>
    <x v="1"/>
    <x v="1"/>
    <x v="2"/>
    <x v="1"/>
    <s v="Normal"/>
  </r>
  <r>
    <n v="964"/>
    <d v="2011-02-12T00:00:00"/>
    <n v="1"/>
    <n v="0"/>
    <n v="2"/>
    <x v="18"/>
    <x v="0"/>
    <x v="0"/>
    <n v="1"/>
    <n v="0.28000000000000003"/>
    <n v="0.2576"/>
    <n v="0.38"/>
    <n v="0.32840000000000003"/>
    <n v="4"/>
    <n v="60"/>
    <n v="64"/>
    <x v="0"/>
    <x v="0"/>
    <x v="1"/>
    <x v="1"/>
    <x v="3"/>
    <x v="0"/>
    <s v="Normal"/>
  </r>
  <r>
    <n v="965"/>
    <d v="2011-02-12T00:00:00"/>
    <n v="1"/>
    <n v="0"/>
    <n v="2"/>
    <x v="19"/>
    <x v="0"/>
    <x v="0"/>
    <n v="1"/>
    <n v="0.28000000000000003"/>
    <n v="0.2727"/>
    <n v="0.38"/>
    <n v="0.16420000000000001"/>
    <n v="2"/>
    <n v="39"/>
    <n v="41"/>
    <x v="0"/>
    <x v="0"/>
    <x v="1"/>
    <x v="0"/>
    <x v="3"/>
    <x v="0"/>
    <s v="Normal"/>
  </r>
  <r>
    <n v="966"/>
    <d v="2011-02-12T00:00:00"/>
    <n v="1"/>
    <n v="0"/>
    <n v="2"/>
    <x v="20"/>
    <x v="0"/>
    <x v="0"/>
    <n v="1"/>
    <n v="0.26"/>
    <n v="0.2576"/>
    <n v="0.41"/>
    <n v="0.22389999999999999"/>
    <n v="1"/>
    <n v="39"/>
    <n v="40"/>
    <x v="0"/>
    <x v="0"/>
    <x v="0"/>
    <x v="0"/>
    <x v="3"/>
    <x v="0"/>
    <s v="Normal"/>
  </r>
  <r>
    <n v="967"/>
    <d v="2011-02-12T00:00:00"/>
    <n v="1"/>
    <n v="0"/>
    <n v="2"/>
    <x v="21"/>
    <x v="0"/>
    <x v="0"/>
    <n v="1"/>
    <n v="0.26"/>
    <n v="0.30299999999999999"/>
    <n v="0.41"/>
    <n v="0"/>
    <n v="9"/>
    <n v="42"/>
    <n v="51"/>
    <x v="0"/>
    <x v="0"/>
    <x v="0"/>
    <x v="1"/>
    <x v="3"/>
    <x v="0"/>
    <s v="Normal"/>
  </r>
  <r>
    <n v="968"/>
    <d v="2011-02-12T00:00:00"/>
    <n v="1"/>
    <n v="0"/>
    <n v="2"/>
    <x v="22"/>
    <x v="0"/>
    <x v="0"/>
    <n v="1"/>
    <n v="0.24"/>
    <n v="0.2576"/>
    <n v="0.44"/>
    <n v="8.9599999999999999E-2"/>
    <n v="6"/>
    <n v="39"/>
    <n v="45"/>
    <x v="0"/>
    <x v="0"/>
    <x v="0"/>
    <x v="0"/>
    <x v="3"/>
    <x v="0"/>
    <s v="Normal"/>
  </r>
  <r>
    <n v="969"/>
    <d v="2011-02-12T00:00:00"/>
    <n v="1"/>
    <n v="0"/>
    <n v="2"/>
    <x v="23"/>
    <x v="0"/>
    <x v="0"/>
    <n v="1"/>
    <n v="0.22"/>
    <n v="0.2273"/>
    <n v="0.51"/>
    <n v="0.1343"/>
    <n v="1"/>
    <n v="31"/>
    <n v="32"/>
    <x v="0"/>
    <x v="0"/>
    <x v="0"/>
    <x v="0"/>
    <x v="3"/>
    <x v="0"/>
    <s v="Normal"/>
  </r>
  <r>
    <n v="970"/>
    <d v="2011-02-13T00:00:00"/>
    <n v="1"/>
    <n v="0"/>
    <n v="2"/>
    <x v="0"/>
    <x v="0"/>
    <x v="1"/>
    <n v="1"/>
    <n v="0.2"/>
    <n v="0.2273"/>
    <n v="0.64"/>
    <n v="0.1045"/>
    <n v="5"/>
    <n v="34"/>
    <n v="39"/>
    <x v="1"/>
    <x v="0"/>
    <x v="0"/>
    <x v="0"/>
    <x v="0"/>
    <x v="0"/>
    <s v="Normal"/>
  </r>
  <r>
    <n v="971"/>
    <d v="2011-02-13T00:00:00"/>
    <n v="1"/>
    <n v="0"/>
    <n v="2"/>
    <x v="1"/>
    <x v="0"/>
    <x v="1"/>
    <n v="1"/>
    <n v="0.2"/>
    <n v="0.2273"/>
    <n v="0.59"/>
    <n v="8.9599999999999999E-2"/>
    <n v="1"/>
    <n v="23"/>
    <n v="24"/>
    <x v="1"/>
    <x v="0"/>
    <x v="0"/>
    <x v="0"/>
    <x v="0"/>
    <x v="0"/>
    <s v="Normal"/>
  </r>
  <r>
    <n v="972"/>
    <d v="2011-02-13T00:00:00"/>
    <n v="1"/>
    <n v="0"/>
    <n v="2"/>
    <x v="2"/>
    <x v="0"/>
    <x v="1"/>
    <n v="2"/>
    <n v="0.2"/>
    <n v="0.2273"/>
    <n v="0.75"/>
    <n v="8.9599999999999999E-2"/>
    <n v="1"/>
    <n v="19"/>
    <n v="20"/>
    <x v="1"/>
    <x v="1"/>
    <x v="0"/>
    <x v="0"/>
    <x v="0"/>
    <x v="0"/>
    <s v="Normal"/>
  </r>
  <r>
    <n v="973"/>
    <d v="2011-02-13T00:00:00"/>
    <n v="1"/>
    <n v="0"/>
    <n v="2"/>
    <x v="3"/>
    <x v="0"/>
    <x v="1"/>
    <n v="2"/>
    <n v="0.2"/>
    <n v="0.2273"/>
    <n v="0.69"/>
    <n v="0.1045"/>
    <n v="4"/>
    <n v="8"/>
    <n v="12"/>
    <x v="1"/>
    <x v="1"/>
    <x v="0"/>
    <x v="0"/>
    <x v="0"/>
    <x v="0"/>
    <s v="Normal"/>
  </r>
  <r>
    <n v="974"/>
    <d v="2011-02-13T00:00:00"/>
    <n v="1"/>
    <n v="0"/>
    <n v="2"/>
    <x v="4"/>
    <x v="0"/>
    <x v="1"/>
    <n v="2"/>
    <n v="0.2"/>
    <n v="0.21210000000000001"/>
    <n v="0.69"/>
    <n v="0.16420000000000001"/>
    <n v="0"/>
    <n v="2"/>
    <n v="2"/>
    <x v="1"/>
    <x v="1"/>
    <x v="0"/>
    <x v="0"/>
    <x v="0"/>
    <x v="0"/>
    <s v="Normal"/>
  </r>
  <r>
    <n v="975"/>
    <d v="2011-02-13T00:00:00"/>
    <n v="1"/>
    <n v="0"/>
    <n v="2"/>
    <x v="6"/>
    <x v="0"/>
    <x v="1"/>
    <n v="2"/>
    <n v="0.2"/>
    <n v="0.21210000000000001"/>
    <n v="0.69"/>
    <n v="0.1343"/>
    <n v="2"/>
    <n v="3"/>
    <n v="5"/>
    <x v="1"/>
    <x v="1"/>
    <x v="0"/>
    <x v="0"/>
    <x v="1"/>
    <x v="0"/>
    <s v="Normal"/>
  </r>
  <r>
    <n v="976"/>
    <d v="2011-02-13T00:00:00"/>
    <n v="1"/>
    <n v="0"/>
    <n v="2"/>
    <x v="7"/>
    <x v="0"/>
    <x v="1"/>
    <n v="2"/>
    <n v="0.22"/>
    <n v="0.2727"/>
    <n v="0.55000000000000004"/>
    <n v="0"/>
    <n v="0"/>
    <n v="3"/>
    <n v="3"/>
    <x v="1"/>
    <x v="1"/>
    <x v="1"/>
    <x v="0"/>
    <x v="1"/>
    <x v="0"/>
    <s v="Normal"/>
  </r>
  <r>
    <n v="977"/>
    <d v="2011-02-13T00:00:00"/>
    <n v="1"/>
    <n v="0"/>
    <n v="2"/>
    <x v="8"/>
    <x v="0"/>
    <x v="1"/>
    <n v="2"/>
    <n v="0.22"/>
    <n v="0.2273"/>
    <n v="0.64"/>
    <n v="0.19400000000000001"/>
    <n v="1"/>
    <n v="11"/>
    <n v="12"/>
    <x v="1"/>
    <x v="1"/>
    <x v="1"/>
    <x v="0"/>
    <x v="1"/>
    <x v="0"/>
    <s v="Normal"/>
  </r>
  <r>
    <n v="978"/>
    <d v="2011-02-13T00:00:00"/>
    <n v="1"/>
    <n v="0"/>
    <n v="2"/>
    <x v="9"/>
    <x v="0"/>
    <x v="1"/>
    <n v="2"/>
    <n v="0.24"/>
    <n v="0.2273"/>
    <n v="0.6"/>
    <n v="0.22389999999999999"/>
    <n v="12"/>
    <n v="35"/>
    <n v="47"/>
    <x v="1"/>
    <x v="1"/>
    <x v="1"/>
    <x v="0"/>
    <x v="1"/>
    <x v="0"/>
    <s v="Normal"/>
  </r>
  <r>
    <n v="979"/>
    <d v="2011-02-13T00:00:00"/>
    <n v="1"/>
    <n v="0"/>
    <n v="2"/>
    <x v="10"/>
    <x v="0"/>
    <x v="1"/>
    <n v="1"/>
    <n v="0.3"/>
    <n v="0.2727"/>
    <n v="0.45"/>
    <n v="0.32840000000000003"/>
    <n v="19"/>
    <n v="86"/>
    <n v="105"/>
    <x v="1"/>
    <x v="0"/>
    <x v="0"/>
    <x v="1"/>
    <x v="1"/>
    <x v="1"/>
    <s v="Normal"/>
  </r>
  <r>
    <n v="980"/>
    <d v="2011-02-13T00:00:00"/>
    <n v="1"/>
    <n v="0"/>
    <n v="2"/>
    <x v="11"/>
    <x v="0"/>
    <x v="1"/>
    <n v="1"/>
    <n v="0.32"/>
    <n v="0.28789999999999999"/>
    <n v="0.39"/>
    <n v="0.44779999999999998"/>
    <n v="26"/>
    <n v="86"/>
    <n v="112"/>
    <x v="1"/>
    <x v="0"/>
    <x v="0"/>
    <x v="1"/>
    <x v="1"/>
    <x v="1"/>
    <s v="Normal"/>
  </r>
  <r>
    <n v="981"/>
    <d v="2011-02-13T00:00:00"/>
    <n v="1"/>
    <n v="0"/>
    <n v="2"/>
    <x v="12"/>
    <x v="0"/>
    <x v="1"/>
    <n v="1"/>
    <n v="0.36"/>
    <n v="0.31819999999999998"/>
    <n v="0.32"/>
    <n v="0.4627"/>
    <n v="58"/>
    <n v="94"/>
    <n v="152"/>
    <x v="1"/>
    <x v="0"/>
    <x v="0"/>
    <x v="2"/>
    <x v="2"/>
    <x v="1"/>
    <s v="Normal"/>
  </r>
  <r>
    <n v="982"/>
    <d v="2011-02-13T00:00:00"/>
    <n v="1"/>
    <n v="0"/>
    <n v="2"/>
    <x v="13"/>
    <x v="0"/>
    <x v="1"/>
    <n v="1"/>
    <n v="0.38"/>
    <n v="0.39389999999999997"/>
    <n v="0.28999999999999998"/>
    <n v="0.35820000000000002"/>
    <n v="62"/>
    <n v="92"/>
    <n v="154"/>
    <x v="1"/>
    <x v="0"/>
    <x v="0"/>
    <x v="2"/>
    <x v="2"/>
    <x v="1"/>
    <s v="Normal"/>
  </r>
  <r>
    <n v="983"/>
    <d v="2011-02-13T00:00:00"/>
    <n v="1"/>
    <n v="0"/>
    <n v="2"/>
    <x v="14"/>
    <x v="0"/>
    <x v="1"/>
    <n v="2"/>
    <n v="0.4"/>
    <n v="0.40910000000000002"/>
    <n v="0.3"/>
    <n v="0.41789999999999999"/>
    <n v="51"/>
    <n v="110"/>
    <n v="161"/>
    <x v="1"/>
    <x v="1"/>
    <x v="0"/>
    <x v="2"/>
    <x v="2"/>
    <x v="2"/>
    <s v="⬆ Spike"/>
  </r>
  <r>
    <n v="984"/>
    <d v="2011-02-13T00:00:00"/>
    <n v="1"/>
    <n v="0"/>
    <n v="2"/>
    <x v="15"/>
    <x v="0"/>
    <x v="1"/>
    <n v="2"/>
    <n v="0.4"/>
    <n v="0.40910000000000002"/>
    <n v="0.3"/>
    <n v="0.29849999999999999"/>
    <n v="40"/>
    <n v="122"/>
    <n v="162"/>
    <x v="1"/>
    <x v="1"/>
    <x v="0"/>
    <x v="2"/>
    <x v="2"/>
    <x v="2"/>
    <s v="⬆ Spike"/>
  </r>
  <r>
    <n v="985"/>
    <d v="2011-02-13T00:00:00"/>
    <n v="1"/>
    <n v="0"/>
    <n v="2"/>
    <x v="16"/>
    <x v="0"/>
    <x v="1"/>
    <n v="2"/>
    <n v="0.42"/>
    <n v="0.42420000000000002"/>
    <n v="0.28000000000000003"/>
    <n v="0.32840000000000003"/>
    <n v="28"/>
    <n v="106"/>
    <n v="134"/>
    <x v="1"/>
    <x v="1"/>
    <x v="0"/>
    <x v="1"/>
    <x v="2"/>
    <x v="2"/>
    <s v="Normal"/>
  </r>
  <r>
    <n v="986"/>
    <d v="2011-02-13T00:00:00"/>
    <n v="1"/>
    <n v="0"/>
    <n v="2"/>
    <x v="17"/>
    <x v="0"/>
    <x v="1"/>
    <n v="1"/>
    <n v="0.42"/>
    <n v="0.42420000000000002"/>
    <n v="0.28000000000000003"/>
    <n v="0.32840000000000003"/>
    <n v="30"/>
    <n v="95"/>
    <n v="125"/>
    <x v="1"/>
    <x v="0"/>
    <x v="1"/>
    <x v="1"/>
    <x v="2"/>
    <x v="2"/>
    <s v="Normal"/>
  </r>
  <r>
    <n v="987"/>
    <d v="2011-02-13T00:00:00"/>
    <n v="1"/>
    <n v="0"/>
    <n v="2"/>
    <x v="18"/>
    <x v="0"/>
    <x v="1"/>
    <n v="1"/>
    <n v="0.4"/>
    <n v="0.40910000000000002"/>
    <n v="0.32"/>
    <n v="0.29849999999999999"/>
    <n v="17"/>
    <n v="78"/>
    <n v="95"/>
    <x v="1"/>
    <x v="0"/>
    <x v="1"/>
    <x v="1"/>
    <x v="3"/>
    <x v="2"/>
    <s v="Normal"/>
  </r>
  <r>
    <n v="988"/>
    <d v="2011-02-13T00:00:00"/>
    <n v="1"/>
    <n v="0"/>
    <n v="2"/>
    <x v="19"/>
    <x v="0"/>
    <x v="1"/>
    <n v="1"/>
    <n v="0.4"/>
    <n v="0.40910000000000002"/>
    <n v="0.35"/>
    <n v="0.28360000000000002"/>
    <n v="11"/>
    <n v="50"/>
    <n v="61"/>
    <x v="1"/>
    <x v="0"/>
    <x v="1"/>
    <x v="1"/>
    <x v="3"/>
    <x v="2"/>
    <s v="Normal"/>
  </r>
  <r>
    <n v="989"/>
    <d v="2011-02-13T00:00:00"/>
    <n v="1"/>
    <n v="0"/>
    <n v="2"/>
    <x v="20"/>
    <x v="0"/>
    <x v="1"/>
    <n v="1"/>
    <n v="0.4"/>
    <n v="0.40910000000000002"/>
    <n v="0.35"/>
    <n v="0.32840000000000003"/>
    <n v="15"/>
    <n v="32"/>
    <n v="47"/>
    <x v="1"/>
    <x v="0"/>
    <x v="0"/>
    <x v="0"/>
    <x v="3"/>
    <x v="2"/>
    <s v="Normal"/>
  </r>
  <r>
    <n v="990"/>
    <d v="2011-02-13T00:00:00"/>
    <n v="1"/>
    <n v="0"/>
    <n v="2"/>
    <x v="21"/>
    <x v="0"/>
    <x v="1"/>
    <n v="1"/>
    <n v="0.4"/>
    <n v="0.40910000000000002"/>
    <n v="0.35"/>
    <n v="0.35820000000000002"/>
    <n v="6"/>
    <n v="45"/>
    <n v="51"/>
    <x v="1"/>
    <x v="0"/>
    <x v="0"/>
    <x v="1"/>
    <x v="3"/>
    <x v="2"/>
    <s v="Normal"/>
  </r>
  <r>
    <n v="991"/>
    <d v="2011-02-13T00:00:00"/>
    <n v="1"/>
    <n v="0"/>
    <n v="2"/>
    <x v="22"/>
    <x v="0"/>
    <x v="1"/>
    <n v="1"/>
    <n v="0.4"/>
    <n v="0.40910000000000002"/>
    <n v="0.35"/>
    <n v="0.29849999999999999"/>
    <n v="5"/>
    <n v="31"/>
    <n v="36"/>
    <x v="1"/>
    <x v="0"/>
    <x v="0"/>
    <x v="0"/>
    <x v="3"/>
    <x v="2"/>
    <s v="Normal"/>
  </r>
  <r>
    <n v="992"/>
    <d v="2011-02-13T00:00:00"/>
    <n v="1"/>
    <n v="0"/>
    <n v="2"/>
    <x v="23"/>
    <x v="0"/>
    <x v="1"/>
    <n v="1"/>
    <n v="0.4"/>
    <n v="0.40910000000000002"/>
    <n v="0.35"/>
    <n v="0.35820000000000002"/>
    <n v="3"/>
    <n v="27"/>
    <n v="30"/>
    <x v="1"/>
    <x v="0"/>
    <x v="0"/>
    <x v="0"/>
    <x v="3"/>
    <x v="2"/>
    <s v="Normal"/>
  </r>
  <r>
    <n v="993"/>
    <d v="2011-02-14T00:00:00"/>
    <n v="1"/>
    <n v="0"/>
    <n v="2"/>
    <x v="0"/>
    <x v="0"/>
    <x v="2"/>
    <n v="1"/>
    <n v="0.38"/>
    <n v="0.39389999999999997"/>
    <n v="0.37"/>
    <n v="0.35820000000000002"/>
    <n v="3"/>
    <n v="8"/>
    <n v="11"/>
    <x v="2"/>
    <x v="0"/>
    <x v="0"/>
    <x v="0"/>
    <x v="0"/>
    <x v="1"/>
    <s v="Normal"/>
  </r>
  <r>
    <n v="994"/>
    <d v="2011-02-14T00:00:00"/>
    <n v="1"/>
    <n v="0"/>
    <n v="2"/>
    <x v="1"/>
    <x v="0"/>
    <x v="2"/>
    <n v="1"/>
    <n v="0.38"/>
    <n v="0.39389999999999997"/>
    <n v="0.37"/>
    <n v="0.35820000000000002"/>
    <n v="1"/>
    <n v="6"/>
    <n v="7"/>
    <x v="2"/>
    <x v="0"/>
    <x v="0"/>
    <x v="0"/>
    <x v="0"/>
    <x v="1"/>
    <s v="Normal"/>
  </r>
  <r>
    <n v="995"/>
    <d v="2011-02-14T00:00:00"/>
    <n v="1"/>
    <n v="0"/>
    <n v="2"/>
    <x v="2"/>
    <x v="0"/>
    <x v="2"/>
    <n v="1"/>
    <n v="0.36"/>
    <n v="0.33329999999999999"/>
    <n v="0.4"/>
    <n v="0.29849999999999999"/>
    <n v="0"/>
    <n v="2"/>
    <n v="2"/>
    <x v="2"/>
    <x v="0"/>
    <x v="0"/>
    <x v="0"/>
    <x v="0"/>
    <x v="1"/>
    <s v="Normal"/>
  </r>
  <r>
    <n v="996"/>
    <d v="2011-02-14T00:00:00"/>
    <n v="1"/>
    <n v="0"/>
    <n v="2"/>
    <x v="3"/>
    <x v="0"/>
    <x v="2"/>
    <n v="1"/>
    <n v="0.34"/>
    <n v="0.31819999999999998"/>
    <n v="0.46"/>
    <n v="0.22389999999999999"/>
    <n v="1"/>
    <n v="1"/>
    <n v="2"/>
    <x v="2"/>
    <x v="0"/>
    <x v="0"/>
    <x v="0"/>
    <x v="0"/>
    <x v="1"/>
    <s v="Normal"/>
  </r>
  <r>
    <n v="997"/>
    <d v="2011-02-14T00:00:00"/>
    <n v="1"/>
    <n v="0"/>
    <n v="2"/>
    <x v="4"/>
    <x v="0"/>
    <x v="2"/>
    <n v="1"/>
    <n v="0.32"/>
    <n v="0.30299999999999999"/>
    <n v="0.53"/>
    <n v="0.28360000000000002"/>
    <n v="0"/>
    <n v="2"/>
    <n v="2"/>
    <x v="2"/>
    <x v="0"/>
    <x v="0"/>
    <x v="0"/>
    <x v="0"/>
    <x v="1"/>
    <s v="Normal"/>
  </r>
  <r>
    <n v="998"/>
    <d v="2011-02-14T00:00:00"/>
    <n v="1"/>
    <n v="0"/>
    <n v="2"/>
    <x v="5"/>
    <x v="0"/>
    <x v="2"/>
    <n v="1"/>
    <n v="0.32"/>
    <n v="0.30299999999999999"/>
    <n v="0.53"/>
    <n v="0.28360000000000002"/>
    <n v="0"/>
    <n v="3"/>
    <n v="3"/>
    <x v="2"/>
    <x v="0"/>
    <x v="0"/>
    <x v="0"/>
    <x v="0"/>
    <x v="1"/>
    <s v="Normal"/>
  </r>
  <r>
    <n v="999"/>
    <d v="2011-02-14T00:00:00"/>
    <n v="1"/>
    <n v="0"/>
    <n v="2"/>
    <x v="6"/>
    <x v="0"/>
    <x v="2"/>
    <n v="1"/>
    <n v="0.34"/>
    <n v="0.30299999999999999"/>
    <n v="0.46"/>
    <n v="0.29849999999999999"/>
    <n v="1"/>
    <n v="25"/>
    <n v="26"/>
    <x v="2"/>
    <x v="0"/>
    <x v="0"/>
    <x v="0"/>
    <x v="1"/>
    <x v="1"/>
    <s v="Normal"/>
  </r>
  <r>
    <n v="1000"/>
    <d v="2011-02-14T00:00:00"/>
    <n v="1"/>
    <n v="0"/>
    <n v="2"/>
    <x v="7"/>
    <x v="0"/>
    <x v="2"/>
    <n v="1"/>
    <n v="0.34"/>
    <n v="0.30299999999999999"/>
    <n v="0.46"/>
    <n v="0.29849999999999999"/>
    <n v="2"/>
    <n v="96"/>
    <n v="98"/>
    <x v="2"/>
    <x v="0"/>
    <x v="1"/>
    <x v="1"/>
    <x v="1"/>
    <x v="1"/>
    <s v="Normal"/>
  </r>
  <r>
    <n v="611"/>
    <d v="2011-01-28T00:00:00"/>
    <n v="1"/>
    <n v="0"/>
    <n v="1"/>
    <x v="16"/>
    <x v="0"/>
    <x v="6"/>
    <n v="1"/>
    <n v="0.22"/>
    <n v="0.2727"/>
    <n v="0.8"/>
    <n v="0"/>
    <n v="10"/>
    <n v="70"/>
    <n v="80"/>
    <x v="6"/>
    <x v="0"/>
    <x v="0"/>
    <x v="1"/>
    <x v="2"/>
    <x v="0"/>
    <s v="Normal"/>
  </r>
  <r>
    <n v="612"/>
    <d v="2011-01-28T00:00:00"/>
    <n v="1"/>
    <n v="0"/>
    <n v="1"/>
    <x v="17"/>
    <x v="0"/>
    <x v="6"/>
    <n v="1"/>
    <n v="0.24"/>
    <n v="0.2424"/>
    <n v="0.75"/>
    <n v="0.1343"/>
    <n v="2"/>
    <n v="147"/>
    <n v="149"/>
    <x v="6"/>
    <x v="0"/>
    <x v="1"/>
    <x v="1"/>
    <x v="2"/>
    <x v="0"/>
    <s v="Normal"/>
  </r>
  <r>
    <n v="613"/>
    <d v="2011-01-28T00:00:00"/>
    <n v="1"/>
    <n v="0"/>
    <n v="1"/>
    <x v="18"/>
    <x v="0"/>
    <x v="6"/>
    <n v="1"/>
    <n v="0.24"/>
    <n v="0.2273"/>
    <n v="0.75"/>
    <n v="0.19400000000000001"/>
    <n v="2"/>
    <n v="107"/>
    <n v="109"/>
    <x v="6"/>
    <x v="0"/>
    <x v="1"/>
    <x v="1"/>
    <x v="3"/>
    <x v="0"/>
    <s v="Normal"/>
  </r>
  <r>
    <n v="614"/>
    <d v="2011-01-28T00:00:00"/>
    <n v="1"/>
    <n v="0"/>
    <n v="1"/>
    <x v="19"/>
    <x v="0"/>
    <x v="6"/>
    <n v="2"/>
    <n v="0.24"/>
    <n v="0.2424"/>
    <n v="0.75"/>
    <n v="0.1343"/>
    <n v="5"/>
    <n v="84"/>
    <n v="89"/>
    <x v="6"/>
    <x v="1"/>
    <x v="1"/>
    <x v="1"/>
    <x v="3"/>
    <x v="0"/>
    <s v="Normal"/>
  </r>
  <r>
    <n v="615"/>
    <d v="2011-01-28T00:00:00"/>
    <n v="1"/>
    <n v="0"/>
    <n v="1"/>
    <x v="20"/>
    <x v="0"/>
    <x v="6"/>
    <n v="2"/>
    <n v="0.24"/>
    <n v="0.2273"/>
    <n v="0.7"/>
    <n v="0.19400000000000001"/>
    <n v="1"/>
    <n v="61"/>
    <n v="62"/>
    <x v="6"/>
    <x v="1"/>
    <x v="0"/>
    <x v="1"/>
    <x v="3"/>
    <x v="0"/>
    <s v="Normal"/>
  </r>
  <r>
    <n v="616"/>
    <d v="2011-01-28T00:00:00"/>
    <n v="1"/>
    <n v="0"/>
    <n v="1"/>
    <x v="21"/>
    <x v="0"/>
    <x v="6"/>
    <n v="2"/>
    <n v="0.22"/>
    <n v="0.2273"/>
    <n v="0.75"/>
    <n v="0.1343"/>
    <n v="1"/>
    <n v="57"/>
    <n v="58"/>
    <x v="6"/>
    <x v="1"/>
    <x v="0"/>
    <x v="1"/>
    <x v="3"/>
    <x v="0"/>
    <s v="Normal"/>
  </r>
  <r>
    <n v="617"/>
    <d v="2011-01-28T00:00:00"/>
    <n v="1"/>
    <n v="0"/>
    <n v="1"/>
    <x v="22"/>
    <x v="0"/>
    <x v="6"/>
    <n v="1"/>
    <n v="0.24"/>
    <n v="0.21210000000000001"/>
    <n v="0.65"/>
    <n v="0.35820000000000002"/>
    <n v="0"/>
    <n v="26"/>
    <n v="26"/>
    <x v="6"/>
    <x v="0"/>
    <x v="0"/>
    <x v="0"/>
    <x v="3"/>
    <x v="0"/>
    <s v="Normal"/>
  </r>
  <r>
    <n v="618"/>
    <d v="2011-01-28T00:00:00"/>
    <n v="1"/>
    <n v="0"/>
    <n v="1"/>
    <x v="23"/>
    <x v="0"/>
    <x v="6"/>
    <n v="1"/>
    <n v="0.24"/>
    <n v="0.2273"/>
    <n v="0.6"/>
    <n v="0.22389999999999999"/>
    <n v="1"/>
    <n v="22"/>
    <n v="23"/>
    <x v="6"/>
    <x v="0"/>
    <x v="0"/>
    <x v="0"/>
    <x v="3"/>
    <x v="0"/>
    <s v="Normal"/>
  </r>
  <r>
    <n v="619"/>
    <d v="2011-01-29T00:00:00"/>
    <n v="1"/>
    <n v="0"/>
    <n v="1"/>
    <x v="0"/>
    <x v="0"/>
    <x v="0"/>
    <n v="1"/>
    <n v="0.22"/>
    <n v="0.19700000000000001"/>
    <n v="0.64"/>
    <n v="0.35820000000000002"/>
    <n v="2"/>
    <n v="26"/>
    <n v="28"/>
    <x v="0"/>
    <x v="0"/>
    <x v="0"/>
    <x v="0"/>
    <x v="0"/>
    <x v="0"/>
    <s v="Normal"/>
  </r>
  <r>
    <m/>
    <m/>
    <m/>
    <m/>
    <m/>
    <x v="24"/>
    <x v="2"/>
    <x v="7"/>
    <m/>
    <m/>
    <m/>
    <m/>
    <m/>
    <m/>
    <m/>
    <m/>
    <x v="7"/>
    <x v="4"/>
    <x v="2"/>
    <x v="3"/>
    <x v="4"/>
    <x v="5"/>
    <m/>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 xr10:uid="{40D46B8D-8FF1-4C1D-9534-C0C11CDD0E0E}" sourceName="Weather">
  <data>
    <tabular pivotCacheId="269480562">
      <items count="5">
        <i x="2" s="1"/>
        <i x="0" s="1"/>
        <i x="1" s="1"/>
        <i x="3" s="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_By_Name1" xr10:uid="{6173B300-5CAD-4DEF-AD71-D83163A893FF}" sourceName="Weekday_By Name">
  <data>
    <tabular pivotCacheId="269480562">
      <items count="8">
        <i x="0" s="1"/>
        <i x="1" s="1"/>
        <i x="2" s="1"/>
        <i x="3" s="1"/>
        <i x="4" s="1"/>
        <i x="5" s="1"/>
        <i x="6" s="1"/>
        <i x="7"/>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mand_Category" xr10:uid="{A21E686B-FA4F-4B2F-9C19-6ECAFEC99C2C}" sourceName="Demand Category">
  <data>
    <tabular pivotCacheId="269480562">
      <items count="4">
        <i x="2" s="1"/>
        <i x="0" s="1"/>
        <i x="1" s="1"/>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sh_Hour" xr10:uid="{A86C1B52-8A0C-453D-BC0C-344804FA6FC6}" sourceName="Rash Hour">
  <data>
    <tabular pivotCacheId="269480562">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s_of_Day1" xr10:uid="{5A2C26EE-C8D0-4F47-A893-62A4ADAAAFA2}" sourceName="Times of Day">
  <data>
    <tabular pivotCacheId="269480562">
      <items count="5">
        <i x="2" s="1"/>
        <i x="3" s="1"/>
        <i x="1" s="1"/>
        <i x="0" s="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 xr10:uid="{7DB0115F-600E-4AB6-BDD6-D1EA29750DED}" cache="Slicer_Weather" caption="Weather" columnCount="3" showCaption="0" style="SlicerStyleDark6" rowHeight="241300"/>
  <slicer name="Weekday_By Name 1" xr10:uid="{A78601F5-9797-4376-B64F-BAE919F5521C}" cache="Slicer_Weekday_By_Name1" caption="Weekday" columnCount="3" showCaption="0" style="SlicerStyleDark6" rowHeight="241300"/>
  <slicer name="Demand Category" xr10:uid="{C3D6C5EB-FA52-4F39-8038-909169B6CFD0}" cache="Slicer_Demand_Category" caption="Demand Category" columnCount="3" showCaption="0" style="SlicerStyleDark6" rowHeight="241300"/>
  <slicer name="Rash Hour" xr10:uid="{4973847A-AF14-4D01-9BC9-0FBA643F22FE}" cache="Slicer_Rash_Hour" caption="Rush Hour" columnCount="3" showCaption="0" style="SlicerStyleDark6" rowHeight="241300"/>
  <slicer name="Times of Day 1" xr10:uid="{F500B7F7-CF69-42E3-984A-AEAE57C3AD63}" cache="Slicer_Times_of_Day1" caption="Times of Day" columnCount="3" showCaption="0"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30A59-B01C-4203-A177-000113FF833C}">
  <dimension ref="A1:P7"/>
  <sheetViews>
    <sheetView tabSelected="1" workbookViewId="0">
      <selection activeCell="A4" sqref="A4:L7"/>
    </sheetView>
  </sheetViews>
  <sheetFormatPr defaultRowHeight="15" x14ac:dyDescent="0.25"/>
  <cols>
    <col min="1" max="3" width="9.140625" style="2"/>
    <col min="4" max="4" width="28.5703125" style="2" customWidth="1"/>
    <col min="5" max="5" width="18.7109375" style="2" customWidth="1"/>
    <col min="6" max="6" width="20" style="2" customWidth="1"/>
    <col min="7" max="7" width="34.85546875" style="2" customWidth="1"/>
    <col min="8" max="8" width="33" style="2" customWidth="1"/>
    <col min="9" max="9" width="18.140625" style="2" customWidth="1"/>
    <col min="10" max="10" width="23.140625" style="2" customWidth="1"/>
    <col min="11" max="16384" width="9.140625" style="2"/>
  </cols>
  <sheetData>
    <row r="1" spans="1:16" ht="42" customHeight="1"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row>
    <row r="2" spans="1:16" ht="21.95" customHeight="1" x14ac:dyDescent="0.25">
      <c r="A2" s="3"/>
      <c r="B2" s="3"/>
      <c r="C2" s="3"/>
      <c r="D2" s="3"/>
      <c r="E2" s="3"/>
      <c r="F2" s="3"/>
      <c r="G2" s="3"/>
      <c r="H2" s="3"/>
      <c r="I2" s="3"/>
      <c r="J2" s="3"/>
      <c r="K2" s="3"/>
      <c r="L2" s="3"/>
      <c r="M2" s="3"/>
      <c r="N2" s="3"/>
      <c r="O2" s="3"/>
      <c r="P2" s="3"/>
    </row>
    <row r="4" spans="1:16" ht="15.95" customHeight="1" x14ac:dyDescent="0.25">
      <c r="A4" s="4" t="s">
        <v>1</v>
      </c>
      <c r="B4" s="4"/>
      <c r="C4" s="4" t="s">
        <v>2</v>
      </c>
      <c r="D4" s="4"/>
      <c r="E4" s="4" t="s">
        <v>3</v>
      </c>
      <c r="F4" s="4"/>
      <c r="G4" s="4" t="s">
        <v>4</v>
      </c>
      <c r="H4" s="4"/>
      <c r="I4" s="4" t="s">
        <v>5</v>
      </c>
      <c r="J4" s="4"/>
      <c r="K4" s="4" t="s">
        <v>6</v>
      </c>
      <c r="L4" s="4"/>
    </row>
    <row r="5" spans="1:16" ht="26.1" customHeight="1" x14ac:dyDescent="0.25">
      <c r="A5" s="5">
        <f>SUM('[1]Final Dataset'!P:P)</f>
        <v>58304</v>
      </c>
      <c r="B5" s="5"/>
      <c r="C5" s="5">
        <f>AVERAGE('[1]Final Dataset'!P:P)</f>
        <v>58.304000000000002</v>
      </c>
      <c r="D5" s="5"/>
      <c r="E5" s="5" t="str">
        <f>INDEX('[1]Final Dataset'!F:F, MATCH(MAX('[1]Final Dataset'!P:P), '[1]Final Dataset'!P:P, 0))&amp;":00"</f>
        <v>8:00</v>
      </c>
      <c r="F5" s="5"/>
      <c r="G5" s="5">
        <f>COUNTIF('[1]Final Dataset'!G:G, TRUE)</f>
        <v>24</v>
      </c>
      <c r="H5" s="5"/>
      <c r="I5" s="6">
        <f>SUM('[1]Final Dataset'!O:O)/SUM('[1]Final Dataset'!P:P)</f>
        <v>0.9155975576289791</v>
      </c>
      <c r="J5" s="6"/>
      <c r="K5" s="6">
        <f>SUM('[1]Final Dataset'!N:N)/SUM('[1]Final Dataset'!P:P)</f>
        <v>8.4402442371020861E-2</v>
      </c>
      <c r="L5" s="6"/>
    </row>
    <row r="6" spans="1:16" ht="20.100000000000001" customHeight="1" x14ac:dyDescent="0.25">
      <c r="A6" s="5"/>
      <c r="B6" s="5"/>
      <c r="C6" s="5"/>
      <c r="D6" s="5"/>
      <c r="E6" s="5"/>
      <c r="F6" s="5"/>
      <c r="G6" s="5"/>
      <c r="H6" s="5"/>
      <c r="I6" s="6"/>
      <c r="J6" s="6"/>
      <c r="K6" s="6"/>
      <c r="L6" s="6"/>
    </row>
    <row r="7" spans="1:16" ht="15.95" customHeight="1" x14ac:dyDescent="0.25">
      <c r="A7" s="7" t="s">
        <v>7</v>
      </c>
      <c r="B7" s="7"/>
      <c r="C7" s="7" t="s">
        <v>8</v>
      </c>
      <c r="D7" s="7"/>
      <c r="E7" s="7" t="s">
        <v>9</v>
      </c>
      <c r="F7" s="7"/>
      <c r="G7" s="7" t="s">
        <v>10</v>
      </c>
      <c r="H7" s="7"/>
      <c r="I7" s="7" t="s">
        <v>11</v>
      </c>
      <c r="J7" s="7"/>
      <c r="K7" s="7" t="s">
        <v>11</v>
      </c>
      <c r="L7" s="7"/>
    </row>
  </sheetData>
  <mergeCells count="20">
    <mergeCell ref="A7:B7"/>
    <mergeCell ref="C7:D7"/>
    <mergeCell ref="E7:F7"/>
    <mergeCell ref="G7:H7"/>
    <mergeCell ref="I7:J7"/>
    <mergeCell ref="K7:L7"/>
    <mergeCell ref="A5:B6"/>
    <mergeCell ref="C5:D6"/>
    <mergeCell ref="E5:F6"/>
    <mergeCell ref="G5:H6"/>
    <mergeCell ref="I5:J6"/>
    <mergeCell ref="K5:L6"/>
    <mergeCell ref="A1:P1"/>
    <mergeCell ref="A2:P2"/>
    <mergeCell ref="A4:B4"/>
    <mergeCell ref="C4:D4"/>
    <mergeCell ref="E4:F4"/>
    <mergeCell ref="G4:H4"/>
    <mergeCell ref="I4:J4"/>
    <mergeCell ref="K4:L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D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subhransu sekhar Kanji</dc:creator>
  <cp:lastModifiedBy>subhransu sekhar Kanji</cp:lastModifiedBy>
  <dcterms:created xsi:type="dcterms:W3CDTF">2026-07-17T04:41:04Z</dcterms:created>
  <dcterms:modified xsi:type="dcterms:W3CDTF">2026-07-17T04:44:53Z</dcterms:modified>
</cp:coreProperties>
</file>